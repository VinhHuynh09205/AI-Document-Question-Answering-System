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4" sheetId="1" r:id="rId5"/>
    <sheet state="hidden" name="Sheet2" sheetId="2" r:id="rId6"/>
    <sheet state="visible" name="Sheet1" sheetId="3" r:id="rId7"/>
  </sheets>
  <definedNames/>
  <calcPr/>
</workbook>
</file>

<file path=xl/sharedStrings.xml><?xml version="1.0" encoding="utf-8"?>
<sst xmlns="http://schemas.openxmlformats.org/spreadsheetml/2006/main" count="322" uniqueCount="78">
  <si>
    <t>試験結果表</t>
  </si>
  <si>
    <t>No.</t>
  </si>
  <si>
    <t>受験番号</t>
  </si>
  <si>
    <t>氏名</t>
  </si>
  <si>
    <t>性別</t>
  </si>
  <si>
    <t>学科名</t>
  </si>
  <si>
    <t>日本語</t>
  </si>
  <si>
    <t>数学</t>
  </si>
  <si>
    <t>文学</t>
  </si>
  <si>
    <t>総計</t>
  </si>
  <si>
    <t>結果</t>
  </si>
  <si>
    <t>KI2</t>
  </si>
  <si>
    <t>のび太　徳田</t>
  </si>
  <si>
    <t>A</t>
  </si>
  <si>
    <t>D</t>
  </si>
  <si>
    <t>問題1：</t>
  </si>
  <si>
    <t>KE2</t>
  </si>
  <si>
    <t>優希　カイ</t>
  </si>
  <si>
    <t>ROT</t>
  </si>
  <si>
    <t>SUM・H LOOKUP・V LOOKUP・SUMIF・IF・MAX・MINの関数と四則演算を使って：</t>
  </si>
  <si>
    <t>NH2</t>
  </si>
  <si>
    <t>勝弘　系</t>
  </si>
  <si>
    <t>（10点）</t>
  </si>
  <si>
    <t>KI1</t>
  </si>
  <si>
    <t>山下　恵子</t>
  </si>
  <si>
    <t>U</t>
  </si>
  <si>
    <t>NH1</t>
  </si>
  <si>
    <t>山川　静香</t>
  </si>
  <si>
    <t>総計の点数</t>
  </si>
  <si>
    <t>（15点）</t>
  </si>
  <si>
    <t>山田　浩</t>
  </si>
  <si>
    <t>注：</t>
  </si>
  <si>
    <t>経営学科：</t>
  </si>
  <si>
    <t>日本語＋数学＋文学</t>
  </si>
  <si>
    <t>志村　愛</t>
  </si>
  <si>
    <t>日本語学科と教育学科：</t>
  </si>
  <si>
    <t>（日本語*2)＋数学＋文学</t>
  </si>
  <si>
    <t>木村　信</t>
  </si>
  <si>
    <t>結果（合格条件　総計 &gt;= 25)</t>
  </si>
  <si>
    <t>KE1</t>
  </si>
  <si>
    <t>木村　杏奈</t>
  </si>
  <si>
    <t>平均点</t>
  </si>
  <si>
    <t>（5点）</t>
  </si>
  <si>
    <t>立山　高貴</t>
  </si>
  <si>
    <t>最高点・最低点</t>
  </si>
  <si>
    <t>?</t>
  </si>
  <si>
    <t>合格者数</t>
  </si>
  <si>
    <t>最高点</t>
  </si>
  <si>
    <t>合格率</t>
  </si>
  <si>
    <t>最低点</t>
  </si>
  <si>
    <t>などをまとめてください。</t>
  </si>
  <si>
    <t>男</t>
  </si>
  <si>
    <t>女</t>
  </si>
  <si>
    <t>問題2：</t>
  </si>
  <si>
    <t>学科名の昇順に並べ替えてください。</t>
  </si>
  <si>
    <t>並べ替えた順に番号を「１」からに訂正してください。</t>
  </si>
  <si>
    <t>NH</t>
  </si>
  <si>
    <t>日本語学科</t>
  </si>
  <si>
    <t>KI</t>
  </si>
  <si>
    <t>教育学科</t>
  </si>
  <si>
    <t>問題3：</t>
  </si>
  <si>
    <t>KE</t>
  </si>
  <si>
    <t>経営学科</t>
  </si>
  <si>
    <t>データを使って、帯グラフで各学科の男女合格率を見せてください。</t>
  </si>
  <si>
    <t>（20点）</t>
  </si>
  <si>
    <t>a</t>
  </si>
  <si>
    <t>山下恵美子</t>
  </si>
  <si>
    <t>u</t>
  </si>
  <si>
    <t>志村けん</t>
  </si>
  <si>
    <t>渡辺謙</t>
  </si>
  <si>
    <t>藤江美</t>
  </si>
  <si>
    <t>吉田絢音</t>
  </si>
  <si>
    <t>Tỷ lệ đậu của nam nữ theo từng ngành</t>
  </si>
  <si>
    <t>Nam</t>
  </si>
  <si>
    <t>Nữ</t>
  </si>
  <si>
    <t>Tổng ngành đậu</t>
  </si>
  <si>
    <t>Tỉ lệ nam</t>
  </si>
  <si>
    <t>Tỉ lệ nữ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</si>
</sst>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</numFmts>
  <fonts count="17">
    <font>
      <sz val="12.0"/>
      <color theme="1"/>
      <name val="Calibri"/>
      <scheme val="minor"/>
    </font>
    <font>
      <sz val="12.0"/>
      <color theme="1"/>
      <name val="Times New Roman"/>
    </font>
    <font>
      <b/>
      <sz val="20.0"/>
      <color theme="1"/>
      <name val="Times New Roman"/>
    </font>
    <font>
      <b/>
      <sz val="12.0"/>
      <color theme="1"/>
      <name val="Times New Roman"/>
    </font>
    <font>
      <b/>
      <sz val="15.0"/>
      <color rgb="FFFF9197"/>
      <name val="Times New Roman"/>
    </font>
    <font>
      <b/>
      <sz val="12.0"/>
      <color rgb="FFC00000"/>
      <name val="Times New Roman"/>
    </font>
    <font/>
    <font>
      <b/>
      <sz val="15.0"/>
      <color theme="1"/>
      <name val="Times New Roman"/>
    </font>
    <font>
      <sz val="15.0"/>
      <color theme="1"/>
      <name val="Times New Roman"/>
    </font>
    <font>
      <b/>
      <sz val="2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sz val="16.0"/>
      <color theme="1"/>
      <name val="Times New Roman"/>
    </font>
    <font>
      <b/>
      <sz val="16.0"/>
      <color theme="1"/>
      <name val="Times New Roman"/>
    </font>
    <font>
      <b/>
      <sz val="16.0"/>
      <color rgb="FFC00000"/>
      <name val="Times New Roman"/>
    </font>
    <font>
      <b/>
      <sz val="14.0"/>
      <color rgb="FFC00000"/>
      <name val="Times New Roman"/>
    </font>
    <font>
      <sz val="14.0"/>
      <color theme="1"/>
      <name val="MS Mincho"/>
    </font>
  </fonts>
  <fills count="4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1" numFmtId="0" xfId="0" applyFont="1"/>
    <xf borderId="1" fillId="2" fontId="1" numFmtId="0" xfId="0" applyAlignment="1" applyBorder="1" applyFill="1" applyFont="1">
      <alignment horizontal="center"/>
    </xf>
    <xf borderId="1" fillId="2" fontId="3" numFmtId="0" xfId="0" applyAlignment="1" applyBorder="1" applyFont="1">
      <alignment horizontal="center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4" numFmtId="0" xfId="0" applyAlignment="1" applyBorder="1" applyFont="1">
      <alignment horizontal="center"/>
    </xf>
    <xf borderId="1" fillId="0" fontId="1" numFmtId="0" xfId="0" applyAlignment="1" applyBorder="1" applyFont="1">
      <alignment horizontal="right"/>
    </xf>
    <xf borderId="1" fillId="0" fontId="4" numFmtId="0" xfId="0" applyAlignment="1" applyBorder="1" applyFont="1">
      <alignment horizontal="right"/>
    </xf>
    <xf borderId="1" fillId="0" fontId="4" numFmtId="0" xfId="0" applyAlignment="1" applyBorder="1" applyFont="1">
      <alignment horizontal="left"/>
    </xf>
    <xf borderId="0" fillId="0" fontId="3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5" numFmtId="0" xfId="0" applyAlignment="1" applyFont="1">
      <alignment horizontal="center"/>
    </xf>
    <xf borderId="0" fillId="0" fontId="3" numFmtId="0" xfId="0" applyAlignment="1" applyFont="1">
      <alignment horizontal="right"/>
    </xf>
    <xf borderId="0" fillId="0" fontId="3" numFmtId="0" xfId="0" applyFont="1"/>
    <xf borderId="1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right"/>
    </xf>
    <xf borderId="2" fillId="0" fontId="3" numFmtId="0" xfId="0" applyAlignment="1" applyBorder="1" applyFont="1">
      <alignment horizontal="center" textRotation="255"/>
    </xf>
    <xf borderId="1" fillId="0" fontId="3" numFmtId="0" xfId="0" applyAlignment="1" applyBorder="1" applyFont="1">
      <alignment horizontal="right"/>
    </xf>
    <xf borderId="3" fillId="0" fontId="6" numFmtId="0" xfId="0" applyBorder="1" applyFont="1"/>
    <xf borderId="0" fillId="0" fontId="3" numFmtId="0" xfId="0" applyAlignment="1" applyFont="1">
      <alignment horizontal="center" vertical="center"/>
    </xf>
    <xf borderId="3" fillId="0" fontId="3" numFmtId="0" xfId="0" applyAlignment="1" applyBorder="1" applyFont="1">
      <alignment horizontal="right"/>
    </xf>
    <xf borderId="1" fillId="0" fontId="4" numFmtId="9" xfId="0" applyAlignment="1" applyBorder="1" applyFont="1" applyNumberFormat="1">
      <alignment horizontal="right"/>
    </xf>
    <xf borderId="1" fillId="0" fontId="1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3" numFmtId="0" xfId="0" applyBorder="1" applyFont="1"/>
    <xf borderId="0" fillId="0" fontId="1" numFmtId="9" xfId="0" applyFont="1" applyNumberFormat="1"/>
    <xf borderId="1" fillId="0" fontId="7" numFmtId="0" xfId="0" applyAlignment="1" applyBorder="1" applyFont="1">
      <alignment horizontal="left"/>
    </xf>
    <xf borderId="0" fillId="0" fontId="8" numFmtId="0" xfId="0" applyFont="1"/>
    <xf borderId="4" fillId="0" fontId="9" numFmtId="0" xfId="0" applyAlignment="1" applyBorder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0" fillId="0" fontId="10" numFmtId="0" xfId="0" applyAlignment="1" applyFont="1">
      <alignment horizontal="center" vertical="center"/>
    </xf>
    <xf borderId="0" fillId="0" fontId="11" numFmtId="0" xfId="0" applyFont="1"/>
    <xf borderId="1" fillId="2" fontId="12" numFmtId="0" xfId="0" applyAlignment="1" applyBorder="1" applyFont="1">
      <alignment horizontal="center"/>
    </xf>
    <xf borderId="1" fillId="2" fontId="13" numFmtId="0" xfId="0" applyAlignment="1" applyBorder="1" applyFont="1">
      <alignment horizontal="center" vertical="center"/>
    </xf>
    <xf borderId="0" fillId="0" fontId="12" numFmtId="0" xfId="0" applyFont="1"/>
    <xf borderId="1" fillId="0" fontId="12" numFmtId="0" xfId="0" applyAlignment="1" applyBorder="1" applyFont="1">
      <alignment horizontal="center"/>
    </xf>
    <xf borderId="1" fillId="0" fontId="12" numFmtId="0" xfId="0" applyBorder="1" applyFont="1"/>
    <xf borderId="1" fillId="0" fontId="13" numFmtId="0" xfId="0" applyAlignment="1" applyBorder="1" applyFont="1">
      <alignment horizontal="right"/>
    </xf>
    <xf borderId="1" fillId="0" fontId="12" numFmtId="0" xfId="0" applyAlignment="1" applyBorder="1" applyFont="1">
      <alignment horizontal="right"/>
    </xf>
    <xf borderId="0" fillId="0" fontId="12" numFmtId="0" xfId="0" applyAlignment="1" applyFont="1">
      <alignment horizontal="left" vertical="center"/>
    </xf>
    <xf borderId="0" fillId="0" fontId="14" numFmtId="0" xfId="0" applyAlignment="1" applyFont="1">
      <alignment horizontal="center"/>
    </xf>
    <xf borderId="0" fillId="0" fontId="13" numFmtId="0" xfId="0" applyAlignment="1" applyFont="1">
      <alignment horizontal="right"/>
    </xf>
    <xf borderId="0" fillId="0" fontId="13" numFmtId="0" xfId="0" applyFont="1"/>
    <xf borderId="0" fillId="0" fontId="11" numFmtId="0" xfId="0" applyAlignment="1" applyFont="1">
      <alignment horizontal="center"/>
    </xf>
    <xf borderId="1" fillId="0" fontId="10" numFmtId="0" xfId="0" applyAlignment="1" applyBorder="1" applyFont="1">
      <alignment horizontal="left"/>
    </xf>
    <xf borderId="1" fillId="0" fontId="10" numFmtId="164" xfId="0" applyAlignment="1" applyBorder="1" applyFont="1" applyNumberFormat="1">
      <alignment horizontal="right"/>
    </xf>
    <xf borderId="1" fillId="0" fontId="10" numFmtId="165" xfId="0" applyAlignment="1" applyBorder="1" applyFont="1" applyNumberFormat="1">
      <alignment horizontal="right"/>
    </xf>
    <xf borderId="0" fillId="0" fontId="11" numFmtId="0" xfId="0" applyAlignment="1" applyFont="1">
      <alignment horizontal="left" vertical="center"/>
    </xf>
    <xf borderId="0" fillId="0" fontId="15" numFmtId="0" xfId="0" applyAlignment="1" applyFont="1">
      <alignment horizontal="center"/>
    </xf>
    <xf borderId="1" fillId="0" fontId="10" numFmtId="0" xfId="0" applyAlignment="1" applyBorder="1" applyFont="1">
      <alignment horizontal="left" vertical="center"/>
    </xf>
    <xf borderId="1" fillId="0" fontId="10" numFmtId="1" xfId="0" applyAlignment="1" applyBorder="1" applyFont="1" applyNumberFormat="1">
      <alignment horizontal="right"/>
    </xf>
    <xf borderId="1" fillId="0" fontId="10" numFmtId="166" xfId="0" applyAlignment="1" applyBorder="1" applyFont="1" applyNumberFormat="1">
      <alignment horizontal="right"/>
    </xf>
    <xf borderId="1" fillId="0" fontId="11" numFmtId="0" xfId="0" applyAlignment="1" applyBorder="1" applyFont="1">
      <alignment horizontal="center" vertical="center"/>
    </xf>
    <xf borderId="1" fillId="2" fontId="10" numFmtId="0" xfId="0" applyAlignment="1" applyBorder="1" applyFont="1">
      <alignment horizontal="center" vertical="center"/>
    </xf>
    <xf borderId="2" fillId="2" fontId="10" numFmtId="0" xfId="0" applyAlignment="1" applyBorder="1" applyFont="1">
      <alignment horizontal="center" textRotation="255"/>
    </xf>
    <xf borderId="1" fillId="2" fontId="10" numFmtId="0" xfId="0" applyAlignment="1" applyBorder="1" applyFont="1">
      <alignment horizontal="right"/>
    </xf>
    <xf borderId="1" fillId="3" fontId="10" numFmtId="0" xfId="0" applyAlignment="1" applyBorder="1" applyFill="1" applyFont="1">
      <alignment horizontal="right"/>
    </xf>
    <xf borderId="1" fillId="2" fontId="10" numFmtId="0" xfId="0" applyBorder="1" applyFont="1"/>
    <xf borderId="1" fillId="0" fontId="11" numFmtId="0" xfId="0" applyBorder="1" applyFont="1"/>
    <xf borderId="0" fillId="0" fontId="10" numFmtId="0" xfId="0" applyFont="1"/>
    <xf borderId="3" fillId="2" fontId="10" numFmtId="0" xfId="0" applyAlignment="1" applyBorder="1" applyFont="1">
      <alignment horizontal="right"/>
    </xf>
    <xf borderId="1" fillId="3" fontId="10" numFmtId="9" xfId="0" applyAlignment="1" applyBorder="1" applyFont="1" applyNumberFormat="1">
      <alignment horizontal="right"/>
    </xf>
    <xf borderId="7" fillId="0" fontId="16" numFmtId="0" xfId="0" applyAlignment="1" applyBorder="1" applyFont="1">
      <alignment horizontal="left" shrinkToFit="0" wrapText="1"/>
    </xf>
    <xf borderId="7" fillId="0" fontId="6" numFmtId="0" xfId="0" applyBorder="1" applyFont="1"/>
    <xf borderId="4" fillId="0" fontId="10" numFmtId="0" xfId="0" applyAlignment="1" applyBorder="1" applyFont="1">
      <alignment horizontal="center" readingOrder="0" vertical="center"/>
    </xf>
    <xf borderId="1" fillId="0" fontId="10" numFmtId="0" xfId="0" applyBorder="1" applyFont="1"/>
    <xf borderId="1" fillId="0" fontId="10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vertical="center"/>
    </xf>
    <xf borderId="1" fillId="0" fontId="11" numFmtId="9" xfId="0" applyBorder="1" applyFont="1" applyNumberFormat="1"/>
    <xf borderId="0" fillId="0" fontId="11" numFmtId="9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v>男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Sheet2!$B$40:$B$42</c:f>
            </c:strRef>
          </c:cat>
          <c:val>
            <c:numRef>
              <c:f>Sheet2!$C$40:$C$42</c:f>
              <c:numCache/>
            </c:numRef>
          </c:val>
        </c:ser>
        <c:ser>
          <c:idx val="1"/>
          <c:order val="1"/>
          <c:tx>
            <c:v>女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Sheet2!$B$40:$B$42</c:f>
            </c:strRef>
          </c:cat>
          <c:val>
            <c:numRef>
              <c:f>Sheet2!$D$40:$D$42</c:f>
              <c:numCache/>
            </c:numRef>
          </c:val>
        </c:ser>
        <c:overlap val="100"/>
        <c:axId val="154961158"/>
        <c:axId val="209987438"/>
      </c:barChart>
      <c:catAx>
        <c:axId val="1549611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9987438"/>
      </c:catAx>
      <c:valAx>
        <c:axId val="209987438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4961158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dk1"/>
                </a:solidFill>
                <a:latin typeface="Calibri Light"/>
              </a:defRPr>
            </a:pPr>
            <a:r>
              <a:rPr b="1" i="0" sz="1600">
                <a:solidFill>
                  <a:schemeClr val="dk1"/>
                </a:solidFill>
                <a:latin typeface="Calibri Light"/>
              </a:rPr>
              <a:t>Tỷ lệ đậu của nam/nữ theo từng ngành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Sheet1!$A$28:$A$30</c:f>
            </c:strRef>
          </c:cat>
          <c:val>
            <c:numRef>
              <c:f>Sheet1!$E$28:$E$30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Sheet1!$A$28:$A$30</c:f>
            </c:strRef>
          </c:cat>
          <c:val>
            <c:numRef>
              <c:f>Sheet1!$F$28:$F$30</c:f>
              <c:numCache/>
            </c:numRef>
          </c:val>
        </c:ser>
        <c:overlap val="100"/>
        <c:axId val="1987214667"/>
        <c:axId val="402767820"/>
      </c:barChart>
      <c:catAx>
        <c:axId val="19872146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402767820"/>
      </c:catAx>
      <c:valAx>
        <c:axId val="4027678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987214667"/>
        <c:crosses val="max"/>
      </c:valAx>
      <c:spPr>
        <a:solidFill>
          <a:schemeClr val="lt1"/>
        </a:solidFill>
      </c:spPr>
    </c:plotArea>
    <c:legend>
      <c:legendPos val="r"/>
      <c:layout>
        <c:manualLayout>
          <c:xMode val="edge"/>
          <c:yMode val="edge"/>
          <c:x val="0.8446040295232395"/>
          <c:y val="0.05567072919556384"/>
        </c:manualLayout>
      </c:layout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1200150</xdr:colOff>
      <xdr:row>28</xdr:row>
      <xdr:rowOff>114300</xdr:rowOff>
    </xdr:from>
    <xdr:ext cx="5181600" cy="27051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581025</xdr:colOff>
      <xdr:row>24</xdr:row>
      <xdr:rowOff>304800</xdr:rowOff>
    </xdr:from>
    <xdr:ext cx="4857750" cy="2714625"/>
    <xdr:graphicFrame>
      <xdr:nvGraphicFramePr>
        <xdr:cNvPr id="2" name="Chart 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7:F27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3" width="12.89"/>
    <col customWidth="1" min="4" max="4" width="14.33"/>
    <col customWidth="1" min="5" max="5" width="14.44"/>
    <col customWidth="1" min="6" max="8" width="11.0"/>
    <col customWidth="1" min="9" max="9" width="14.44"/>
    <col customWidth="1" min="10" max="10" width="17.33"/>
    <col customWidth="1" min="11" max="11" width="8.44"/>
    <col customWidth="1" min="12" max="13" width="10.89"/>
    <col customWidth="1" min="14" max="14" width="11.44"/>
    <col customWidth="1" min="15" max="26" width="10.89"/>
  </cols>
  <sheetData>
    <row r="1" ht="45.75" customHeight="1">
      <c r="A1" s="1"/>
      <c r="B1" s="2" t="s">
        <v>0</v>
      </c>
      <c r="L1" s="2"/>
      <c r="S1" s="3"/>
      <c r="T1" s="3"/>
      <c r="U1" s="3"/>
      <c r="V1" s="3"/>
      <c r="W1" s="3"/>
      <c r="X1" s="3"/>
      <c r="Y1" s="3"/>
      <c r="Z1" s="3"/>
    </row>
    <row r="2" ht="24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3"/>
      <c r="L2" s="6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4.75" customHeight="1">
      <c r="A3" s="7">
        <v>1.0</v>
      </c>
      <c r="B3" s="8" t="s">
        <v>11</v>
      </c>
      <c r="C3" s="8" t="s">
        <v>12</v>
      </c>
      <c r="D3" s="9" t="s">
        <v>13</v>
      </c>
      <c r="E3" s="9" t="str">
        <f t="shared" ref="E3:E12" si="1">VLOOKUP(LEFT(B3,2),$E$20:$F$22,2,0)</f>
        <v>教育学科</v>
      </c>
      <c r="F3" s="10">
        <v>9.0</v>
      </c>
      <c r="G3" s="10">
        <v>8.5</v>
      </c>
      <c r="H3" s="10">
        <v>7.5</v>
      </c>
      <c r="I3" s="11">
        <f t="shared" ref="I3:I12" si="2">IF(E3=$F$22,SUM(F3:H3),F3*2+SUM(G3:H3))</f>
        <v>34</v>
      </c>
      <c r="J3" s="12" t="s">
        <v>14</v>
      </c>
      <c r="K3" s="3"/>
      <c r="L3" s="13" t="s">
        <v>15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4.75" customHeight="1">
      <c r="A4" s="7">
        <v>2.0</v>
      </c>
      <c r="B4" s="8" t="s">
        <v>16</v>
      </c>
      <c r="C4" s="8" t="s">
        <v>17</v>
      </c>
      <c r="D4" s="9" t="s">
        <v>13</v>
      </c>
      <c r="E4" s="9" t="str">
        <f t="shared" si="1"/>
        <v>経営学科</v>
      </c>
      <c r="F4" s="10">
        <v>9.0</v>
      </c>
      <c r="G4" s="10">
        <v>7.0</v>
      </c>
      <c r="H4" s="10">
        <v>6.0</v>
      </c>
      <c r="I4" s="11">
        <f t="shared" si="2"/>
        <v>22</v>
      </c>
      <c r="J4" s="12" t="s">
        <v>18</v>
      </c>
      <c r="K4" s="3"/>
      <c r="L4" s="13" t="s">
        <v>19</v>
      </c>
      <c r="M4" s="14"/>
      <c r="N4" s="14"/>
      <c r="O4" s="14"/>
      <c r="P4" s="14"/>
      <c r="Q4" s="14"/>
      <c r="R4" s="14"/>
      <c r="S4" s="3"/>
      <c r="T4" s="3"/>
      <c r="U4" s="3"/>
      <c r="V4" s="3"/>
      <c r="W4" s="3"/>
      <c r="X4" s="3"/>
      <c r="Y4" s="3"/>
      <c r="Z4" s="3"/>
    </row>
    <row r="5" ht="24.75" customHeight="1">
      <c r="A5" s="7">
        <v>3.0</v>
      </c>
      <c r="B5" s="8" t="s">
        <v>20</v>
      </c>
      <c r="C5" s="8" t="s">
        <v>21</v>
      </c>
      <c r="D5" s="9" t="s">
        <v>13</v>
      </c>
      <c r="E5" s="9" t="str">
        <f t="shared" si="1"/>
        <v>日本語学科</v>
      </c>
      <c r="F5" s="10">
        <v>8.0</v>
      </c>
      <c r="G5" s="10">
        <v>5.0</v>
      </c>
      <c r="H5" s="10">
        <v>7.0</v>
      </c>
      <c r="I5" s="11">
        <f t="shared" si="2"/>
        <v>28</v>
      </c>
      <c r="J5" s="12" t="s">
        <v>14</v>
      </c>
      <c r="K5" s="3"/>
      <c r="L5" s="14" t="s">
        <v>4</v>
      </c>
      <c r="M5" s="3"/>
      <c r="N5" s="3"/>
      <c r="O5" s="3"/>
      <c r="P5" s="3"/>
      <c r="Q5" s="3"/>
      <c r="R5" s="15" t="s">
        <v>22</v>
      </c>
      <c r="S5" s="3"/>
      <c r="T5" s="3"/>
      <c r="U5" s="3"/>
      <c r="V5" s="3"/>
      <c r="W5" s="3"/>
      <c r="X5" s="3"/>
      <c r="Y5" s="3"/>
      <c r="Z5" s="3"/>
    </row>
    <row r="6" ht="24.75" customHeight="1">
      <c r="A6" s="7">
        <v>4.0</v>
      </c>
      <c r="B6" s="8" t="s">
        <v>23</v>
      </c>
      <c r="C6" s="8" t="s">
        <v>24</v>
      </c>
      <c r="D6" s="9" t="s">
        <v>25</v>
      </c>
      <c r="E6" s="9" t="str">
        <f t="shared" si="1"/>
        <v>教育学科</v>
      </c>
      <c r="F6" s="10">
        <v>9.0</v>
      </c>
      <c r="G6" s="10">
        <v>10.0</v>
      </c>
      <c r="H6" s="10">
        <v>8.5</v>
      </c>
      <c r="I6" s="11">
        <f t="shared" si="2"/>
        <v>36.5</v>
      </c>
      <c r="J6" s="12" t="s">
        <v>14</v>
      </c>
      <c r="K6" s="3"/>
      <c r="L6" s="14" t="s">
        <v>5</v>
      </c>
      <c r="M6" s="3"/>
      <c r="N6" s="3"/>
      <c r="O6" s="3"/>
      <c r="P6" s="3"/>
      <c r="Q6" s="3"/>
      <c r="R6" s="15" t="s">
        <v>22</v>
      </c>
      <c r="S6" s="3"/>
      <c r="T6" s="3"/>
      <c r="U6" s="3"/>
      <c r="V6" s="3"/>
      <c r="W6" s="3"/>
      <c r="X6" s="3"/>
      <c r="Y6" s="3"/>
      <c r="Z6" s="3"/>
    </row>
    <row r="7" ht="24.75" customHeight="1">
      <c r="A7" s="7">
        <v>5.0</v>
      </c>
      <c r="B7" s="8" t="s">
        <v>26</v>
      </c>
      <c r="C7" s="8" t="s">
        <v>27</v>
      </c>
      <c r="D7" s="9" t="s">
        <v>25</v>
      </c>
      <c r="E7" s="9" t="str">
        <f t="shared" si="1"/>
        <v>日本語学科</v>
      </c>
      <c r="F7" s="10">
        <v>10.0</v>
      </c>
      <c r="G7" s="10">
        <v>7.0</v>
      </c>
      <c r="H7" s="10">
        <v>5.0</v>
      </c>
      <c r="I7" s="11">
        <f t="shared" si="2"/>
        <v>32</v>
      </c>
      <c r="J7" s="12" t="s">
        <v>14</v>
      </c>
      <c r="K7" s="3"/>
      <c r="L7" s="14" t="s">
        <v>28</v>
      </c>
      <c r="M7" s="3"/>
      <c r="N7" s="3"/>
      <c r="O7" s="3"/>
      <c r="P7" s="3"/>
      <c r="Q7" s="3"/>
      <c r="R7" s="15" t="s">
        <v>29</v>
      </c>
      <c r="S7" s="3"/>
      <c r="T7" s="3"/>
      <c r="U7" s="3"/>
      <c r="V7" s="3"/>
      <c r="W7" s="3"/>
      <c r="X7" s="3"/>
      <c r="Y7" s="3"/>
      <c r="Z7" s="3"/>
    </row>
    <row r="8" ht="24.75" customHeight="1">
      <c r="A8" s="7">
        <v>6.0</v>
      </c>
      <c r="B8" s="8" t="s">
        <v>26</v>
      </c>
      <c r="C8" s="8" t="s">
        <v>30</v>
      </c>
      <c r="D8" s="9" t="s">
        <v>25</v>
      </c>
      <c r="E8" s="9" t="str">
        <f t="shared" si="1"/>
        <v>日本語学科</v>
      </c>
      <c r="F8" s="10">
        <v>5.0</v>
      </c>
      <c r="G8" s="10">
        <v>6.0</v>
      </c>
      <c r="H8" s="10">
        <v>8.0</v>
      </c>
      <c r="I8" s="11">
        <f t="shared" si="2"/>
        <v>24</v>
      </c>
      <c r="J8" s="12" t="s">
        <v>18</v>
      </c>
      <c r="K8" s="3"/>
      <c r="L8" s="16" t="s">
        <v>31</v>
      </c>
      <c r="M8" s="3" t="s">
        <v>32</v>
      </c>
      <c r="N8" s="3"/>
      <c r="O8" s="17" t="s">
        <v>33</v>
      </c>
      <c r="P8" s="3"/>
      <c r="Q8" s="3"/>
      <c r="R8" s="15"/>
      <c r="S8" s="3"/>
      <c r="T8" s="3"/>
      <c r="U8" s="3"/>
      <c r="V8" s="3"/>
      <c r="W8" s="3"/>
      <c r="X8" s="3"/>
      <c r="Y8" s="3"/>
      <c r="Z8" s="3"/>
    </row>
    <row r="9" ht="24.75" customHeight="1">
      <c r="A9" s="7">
        <v>7.0</v>
      </c>
      <c r="B9" s="8" t="s">
        <v>16</v>
      </c>
      <c r="C9" s="8" t="s">
        <v>34</v>
      </c>
      <c r="D9" s="9" t="s">
        <v>13</v>
      </c>
      <c r="E9" s="9" t="str">
        <f t="shared" si="1"/>
        <v>経営学科</v>
      </c>
      <c r="F9" s="10">
        <v>7.0</v>
      </c>
      <c r="G9" s="10">
        <v>7.0</v>
      </c>
      <c r="H9" s="10">
        <v>8.0</v>
      </c>
      <c r="I9" s="11">
        <f t="shared" si="2"/>
        <v>22</v>
      </c>
      <c r="J9" s="12" t="s">
        <v>18</v>
      </c>
      <c r="K9" s="3"/>
      <c r="L9" s="3"/>
      <c r="M9" s="3" t="s">
        <v>35</v>
      </c>
      <c r="N9" s="3"/>
      <c r="O9" s="17" t="s">
        <v>36</v>
      </c>
      <c r="P9" s="3"/>
      <c r="Q9" s="3"/>
      <c r="R9" s="15"/>
      <c r="S9" s="3"/>
      <c r="T9" s="3"/>
      <c r="U9" s="3"/>
      <c r="V9" s="3"/>
      <c r="W9" s="3"/>
      <c r="X9" s="3"/>
      <c r="Y9" s="3"/>
      <c r="Z9" s="3"/>
    </row>
    <row r="10" ht="24.75" customHeight="1">
      <c r="A10" s="7">
        <v>8.0</v>
      </c>
      <c r="B10" s="8" t="s">
        <v>26</v>
      </c>
      <c r="C10" s="8" t="s">
        <v>37</v>
      </c>
      <c r="D10" s="9" t="s">
        <v>25</v>
      </c>
      <c r="E10" s="9" t="str">
        <f t="shared" si="1"/>
        <v>日本語学科</v>
      </c>
      <c r="F10" s="10">
        <v>4.5</v>
      </c>
      <c r="G10" s="10">
        <v>7.0</v>
      </c>
      <c r="H10" s="10">
        <v>7.0</v>
      </c>
      <c r="I10" s="11">
        <f t="shared" si="2"/>
        <v>23</v>
      </c>
      <c r="J10" s="12" t="s">
        <v>18</v>
      </c>
      <c r="K10" s="3"/>
      <c r="L10" s="14" t="s">
        <v>38</v>
      </c>
      <c r="M10" s="3"/>
      <c r="N10" s="3"/>
      <c r="O10" s="3"/>
      <c r="P10" s="3"/>
      <c r="Q10" s="3"/>
      <c r="R10" s="15" t="s">
        <v>22</v>
      </c>
      <c r="S10" s="3"/>
      <c r="T10" s="3"/>
      <c r="U10" s="3"/>
      <c r="V10" s="3"/>
      <c r="W10" s="3"/>
      <c r="X10" s="3"/>
      <c r="Y10" s="3"/>
      <c r="Z10" s="3"/>
    </row>
    <row r="11" ht="24.75" customHeight="1">
      <c r="A11" s="7">
        <v>9.0</v>
      </c>
      <c r="B11" s="8" t="s">
        <v>39</v>
      </c>
      <c r="C11" s="8" t="s">
        <v>40</v>
      </c>
      <c r="D11" s="9" t="s">
        <v>25</v>
      </c>
      <c r="E11" s="9" t="str">
        <f t="shared" si="1"/>
        <v>経営学科</v>
      </c>
      <c r="F11" s="10">
        <v>6.5</v>
      </c>
      <c r="G11" s="10">
        <v>9.0</v>
      </c>
      <c r="H11" s="10">
        <v>7.0</v>
      </c>
      <c r="I11" s="11">
        <f t="shared" si="2"/>
        <v>22.5</v>
      </c>
      <c r="J11" s="12" t="s">
        <v>18</v>
      </c>
      <c r="K11" s="3"/>
      <c r="L11" s="14" t="s">
        <v>41</v>
      </c>
      <c r="M11" s="3"/>
      <c r="N11" s="3"/>
      <c r="O11" s="3"/>
      <c r="P11" s="3"/>
      <c r="Q11" s="3"/>
      <c r="R11" s="15" t="s">
        <v>42</v>
      </c>
      <c r="S11" s="3"/>
      <c r="T11" s="3"/>
      <c r="U11" s="3"/>
      <c r="V11" s="3"/>
      <c r="W11" s="3"/>
      <c r="X11" s="3"/>
      <c r="Y11" s="3"/>
      <c r="Z11" s="3"/>
    </row>
    <row r="12" ht="24.75" customHeight="1">
      <c r="A12" s="7">
        <v>10.0</v>
      </c>
      <c r="B12" s="8" t="s">
        <v>11</v>
      </c>
      <c r="C12" s="8" t="s">
        <v>43</v>
      </c>
      <c r="D12" s="9" t="s">
        <v>13</v>
      </c>
      <c r="E12" s="9" t="str">
        <f t="shared" si="1"/>
        <v>教育学科</v>
      </c>
      <c r="F12" s="10">
        <v>5.0</v>
      </c>
      <c r="G12" s="10">
        <v>7.0</v>
      </c>
      <c r="H12" s="10">
        <v>8.5</v>
      </c>
      <c r="I12" s="11">
        <f t="shared" si="2"/>
        <v>25.5</v>
      </c>
      <c r="J12" s="12" t="s">
        <v>14</v>
      </c>
      <c r="K12" s="3"/>
      <c r="L12" s="14" t="s">
        <v>44</v>
      </c>
      <c r="M12" s="3"/>
      <c r="N12" s="3"/>
      <c r="O12" s="3"/>
      <c r="P12" s="3"/>
      <c r="Q12" s="3"/>
      <c r="R12" s="15" t="s">
        <v>42</v>
      </c>
      <c r="S12" s="3"/>
      <c r="T12" s="3"/>
      <c r="U12" s="3"/>
      <c r="V12" s="3"/>
      <c r="W12" s="3"/>
      <c r="X12" s="3"/>
      <c r="Y12" s="3"/>
      <c r="Z12" s="3"/>
    </row>
    <row r="13" ht="24.75" customHeight="1">
      <c r="A13" s="1"/>
      <c r="B13" s="3"/>
      <c r="C13" s="3"/>
      <c r="D13" s="3"/>
      <c r="E13" s="18" t="s">
        <v>41</v>
      </c>
      <c r="F13" s="11" t="s">
        <v>45</v>
      </c>
      <c r="G13" s="11" t="s">
        <v>45</v>
      </c>
      <c r="H13" s="11" t="s">
        <v>45</v>
      </c>
      <c r="I13" s="11" t="s">
        <v>45</v>
      </c>
      <c r="J13" s="3"/>
      <c r="K13" s="3"/>
      <c r="L13" s="14" t="s">
        <v>46</v>
      </c>
      <c r="M13" s="3"/>
      <c r="N13" s="3"/>
      <c r="O13" s="3"/>
      <c r="P13" s="3"/>
      <c r="Q13" s="3"/>
      <c r="R13" s="15" t="s">
        <v>22</v>
      </c>
      <c r="S13" s="3"/>
      <c r="T13" s="3"/>
      <c r="U13" s="3"/>
      <c r="V13" s="3"/>
      <c r="W13" s="3"/>
      <c r="X13" s="3"/>
      <c r="Y13" s="3"/>
      <c r="Z13" s="3"/>
    </row>
    <row r="14" ht="24.75" customHeight="1">
      <c r="A14" s="1"/>
      <c r="B14" s="3"/>
      <c r="C14" s="3"/>
      <c r="D14" s="3"/>
      <c r="E14" s="19" t="s">
        <v>47</v>
      </c>
      <c r="F14" s="11" t="s">
        <v>45</v>
      </c>
      <c r="G14" s="11" t="s">
        <v>45</v>
      </c>
      <c r="H14" s="11" t="s">
        <v>45</v>
      </c>
      <c r="I14" s="11" t="s">
        <v>45</v>
      </c>
      <c r="J14" s="3"/>
      <c r="K14" s="3"/>
      <c r="L14" s="3" t="s">
        <v>48</v>
      </c>
      <c r="M14" s="3"/>
      <c r="N14" s="3"/>
      <c r="O14" s="3"/>
      <c r="P14" s="3"/>
      <c r="Q14" s="3"/>
      <c r="R14" s="15" t="s">
        <v>42</v>
      </c>
      <c r="S14" s="3"/>
      <c r="T14" s="3"/>
      <c r="U14" s="3"/>
      <c r="V14" s="3"/>
      <c r="W14" s="3"/>
      <c r="X14" s="3"/>
      <c r="Y14" s="3"/>
      <c r="Z14" s="3"/>
    </row>
    <row r="15" ht="24.75" customHeight="1">
      <c r="A15" s="1"/>
      <c r="B15" s="3"/>
      <c r="C15" s="3"/>
      <c r="D15" s="3"/>
      <c r="E15" s="19" t="s">
        <v>49</v>
      </c>
      <c r="F15" s="11" t="s">
        <v>45</v>
      </c>
      <c r="G15" s="11" t="s">
        <v>45</v>
      </c>
      <c r="H15" s="11" t="s">
        <v>45</v>
      </c>
      <c r="I15" s="20" t="s">
        <v>45</v>
      </c>
      <c r="J15" s="3"/>
      <c r="K15" s="3"/>
      <c r="L15" s="17" t="s">
        <v>50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4.75" customHeight="1">
      <c r="A16" s="1"/>
      <c r="B16" s="3"/>
      <c r="C16" s="3"/>
      <c r="D16" s="3"/>
      <c r="E16" s="3"/>
      <c r="F16" s="3"/>
      <c r="G16" s="3"/>
      <c r="H16" s="21" t="s">
        <v>46</v>
      </c>
      <c r="I16" s="22" t="s">
        <v>51</v>
      </c>
      <c r="J16" s="11">
        <f>COUNTIFS(D3:D12,D3,J3:J12,J3)</f>
        <v>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4.75" customHeight="1">
      <c r="A17" s="1"/>
      <c r="B17" s="3"/>
      <c r="C17" s="3"/>
      <c r="D17" s="3"/>
      <c r="E17" s="3"/>
      <c r="F17" s="3"/>
      <c r="G17" s="3"/>
      <c r="H17" s="23"/>
      <c r="I17" s="22" t="s">
        <v>52</v>
      </c>
      <c r="J17" s="11">
        <f>COUNTIFS(D3:D12,D6,J3:J12,J3)</f>
        <v>2</v>
      </c>
      <c r="K17" s="3"/>
      <c r="L17" s="17" t="s">
        <v>53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4.75" customHeight="1">
      <c r="A18" s="1"/>
      <c r="B18" s="3"/>
      <c r="C18" s="3"/>
      <c r="D18" s="3"/>
      <c r="E18" s="24"/>
      <c r="F18" s="17"/>
      <c r="G18" s="17"/>
      <c r="H18" s="21" t="s">
        <v>48</v>
      </c>
      <c r="I18" s="25" t="s">
        <v>51</v>
      </c>
      <c r="J18" s="26">
        <f>J16/COUNTIFS(D3:D12,D3)</f>
        <v>0.6</v>
      </c>
      <c r="K18" s="3"/>
      <c r="L18" s="17" t="s">
        <v>54</v>
      </c>
      <c r="M18" s="3"/>
      <c r="N18" s="3"/>
      <c r="O18" s="3"/>
      <c r="P18" s="3"/>
      <c r="Q18" s="3"/>
      <c r="R18" s="15" t="s">
        <v>42</v>
      </c>
      <c r="S18" s="3"/>
      <c r="T18" s="3"/>
      <c r="U18" s="3"/>
      <c r="V18" s="3"/>
      <c r="W18" s="3"/>
      <c r="X18" s="3"/>
      <c r="Y18" s="3"/>
      <c r="Z18" s="3"/>
    </row>
    <row r="19" ht="24.75" customHeight="1">
      <c r="A19" s="27"/>
      <c r="B19" s="28">
        <v>1.0</v>
      </c>
      <c r="C19" s="28">
        <v>2.0</v>
      </c>
      <c r="D19" s="3"/>
      <c r="E19" s="27"/>
      <c r="F19" s="28" t="s">
        <v>5</v>
      </c>
      <c r="G19" s="17"/>
      <c r="H19" s="23"/>
      <c r="I19" s="22" t="s">
        <v>52</v>
      </c>
      <c r="J19" s="26">
        <f>J17/COUNTIF(D3:D12,D6)</f>
        <v>0.4</v>
      </c>
      <c r="K19" s="3"/>
      <c r="L19" s="17" t="s">
        <v>55</v>
      </c>
      <c r="M19" s="3"/>
      <c r="N19" s="3"/>
      <c r="O19" s="3"/>
      <c r="P19" s="3"/>
      <c r="Q19" s="3"/>
      <c r="R19" s="15" t="s">
        <v>42</v>
      </c>
      <c r="S19" s="3"/>
      <c r="T19" s="3"/>
      <c r="U19" s="3"/>
      <c r="V19" s="3"/>
      <c r="W19" s="3"/>
      <c r="X19" s="3"/>
      <c r="Y19" s="3"/>
      <c r="Z19" s="3"/>
    </row>
    <row r="20" ht="24.75" customHeight="1">
      <c r="A20" s="28" t="s">
        <v>4</v>
      </c>
      <c r="B20" s="27" t="s">
        <v>52</v>
      </c>
      <c r="C20" s="27" t="s">
        <v>51</v>
      </c>
      <c r="D20" s="3"/>
      <c r="E20" s="29" t="s">
        <v>56</v>
      </c>
      <c r="F20" s="8" t="s">
        <v>57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4.75" customHeight="1">
      <c r="A21" s="1"/>
      <c r="B21" s="3"/>
      <c r="C21" s="3"/>
      <c r="D21" s="3"/>
      <c r="E21" s="29" t="s">
        <v>58</v>
      </c>
      <c r="F21" s="8" t="s">
        <v>59</v>
      </c>
      <c r="G21" s="3"/>
      <c r="H21" s="3"/>
      <c r="I21" s="3"/>
      <c r="J21" s="3"/>
      <c r="K21" s="3"/>
      <c r="L21" s="17" t="s">
        <v>60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4.75" customHeight="1">
      <c r="A22" s="1"/>
      <c r="B22" s="3"/>
      <c r="C22" s="3"/>
      <c r="D22" s="3"/>
      <c r="E22" s="29" t="s">
        <v>61</v>
      </c>
      <c r="F22" s="8" t="s">
        <v>62</v>
      </c>
      <c r="G22" s="3"/>
      <c r="H22" s="3"/>
      <c r="I22" s="3"/>
      <c r="J22" s="3"/>
      <c r="K22" s="3"/>
      <c r="L22" s="17" t="s">
        <v>63</v>
      </c>
      <c r="M22" s="3"/>
      <c r="N22" s="3"/>
      <c r="O22" s="3"/>
      <c r="P22" s="3"/>
      <c r="Q22" s="3"/>
      <c r="R22" s="15" t="s">
        <v>64</v>
      </c>
      <c r="S22" s="3"/>
      <c r="T22" s="3"/>
      <c r="U22" s="3"/>
      <c r="V22" s="3"/>
      <c r="W22" s="3"/>
      <c r="X22" s="3"/>
      <c r="Y22" s="3"/>
      <c r="Z22" s="3"/>
    </row>
    <row r="23" ht="24.75" customHeight="1">
      <c r="A23" s="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4.75" customHeight="1">
      <c r="A24" s="1"/>
      <c r="B24" s="3"/>
      <c r="C24" s="3"/>
      <c r="D24" s="3" t="s">
        <v>51</v>
      </c>
      <c r="E24" s="3" t="s">
        <v>52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4.75" customHeight="1">
      <c r="A25" s="1"/>
      <c r="B25" s="3"/>
      <c r="C25" s="3" t="s">
        <v>59</v>
      </c>
      <c r="D25" s="3">
        <f>COUNTIFS(E$3:E$12,E$3,D3:D12,D3,J3:J12,J3)</f>
        <v>2</v>
      </c>
      <c r="E25" s="3">
        <f>COUNTIFS(D3:D12,D6,E3:E12,E3,J3:J12,J3)</f>
        <v>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4.75" customHeight="1">
      <c r="A26" s="1"/>
      <c r="B26" s="3"/>
      <c r="C26" s="3" t="s">
        <v>62</v>
      </c>
      <c r="D26" s="3">
        <f>COUNTIFS(E3:E12,E11,D3:D12,D3,J3:J12,J3)</f>
        <v>0</v>
      </c>
      <c r="E26" s="3">
        <f>COUNTIFS(D3:D12,D6,E3:E12,E11,J3:J12,J3)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4.75" customHeight="1">
      <c r="A27" s="1"/>
      <c r="B27" s="3"/>
      <c r="C27" s="3" t="s">
        <v>57</v>
      </c>
      <c r="D27" s="3">
        <f>COUNTIFS(D3:D12,D3,E3:E12,E5,J3:J12,J3)</f>
        <v>1</v>
      </c>
      <c r="E27" s="3">
        <f>COUNTIFS(D3:D12,D6,E3:E12,E10,J3:J12,J3)</f>
        <v>1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4.75" customHeight="1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4.75" customHeight="1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4.75" customHeight="1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4.75" customHeight="1">
      <c r="A31" s="1"/>
      <c r="B31" s="3"/>
      <c r="C31" s="3"/>
      <c r="D31" s="3" t="s">
        <v>51</v>
      </c>
      <c r="E31" s="3" t="s">
        <v>52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4.75" customHeight="1">
      <c r="A32" s="1"/>
      <c r="B32" s="3"/>
      <c r="C32" s="3" t="s">
        <v>59</v>
      </c>
      <c r="D32" s="30">
        <f>COUNTIFS(E$3:E$12,E$3,D3:D12,D3,J3:J12,J3)/COUNTIFS(E$3:E$12,E$3,J3:J12,J3)</f>
        <v>0.6666666667</v>
      </c>
      <c r="E32" s="30">
        <v>0.33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4.75" customHeight="1">
      <c r="A33" s="1"/>
      <c r="B33" s="3"/>
      <c r="C33" s="3" t="s">
        <v>62</v>
      </c>
      <c r="D33" s="30">
        <v>0.0</v>
      </c>
      <c r="E33" s="30">
        <v>0.0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4.75" customHeight="1">
      <c r="A34" s="1"/>
      <c r="B34" s="3"/>
      <c r="C34" s="3" t="s">
        <v>57</v>
      </c>
      <c r="D34" s="30">
        <v>0.5</v>
      </c>
      <c r="E34" s="30">
        <v>0.5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4.75" customHeight="1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4.75" customHeight="1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4.75" customHeight="1">
      <c r="A37" s="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4.75" customHeight="1">
      <c r="A38" s="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4.75" customHeight="1">
      <c r="A39" s="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4.75" customHeight="1">
      <c r="A40" s="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75" customHeight="1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4.75" customHeight="1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75" customHeight="1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4.75" customHeight="1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4.75" customHeight="1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4.75" customHeight="1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4.75" customHeight="1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4.75" customHeight="1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4.75" customHeight="1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4.75" customHeight="1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4.75" customHeight="1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4.75" customHeight="1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4.75" customHeight="1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4.75" customHeight="1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4.75" customHeight="1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4.75" customHeight="1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4.75" customHeight="1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4.75" customHeight="1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4.75" customHeight="1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4.75" customHeight="1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4.75" customHeight="1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4.75" customHeight="1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4.75" customHeight="1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4.75" customHeight="1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4.75" customHeight="1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4.75" customHeight="1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4.75" customHeight="1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4.75" customHeight="1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4.75" customHeight="1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4.75" customHeight="1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4.75" customHeight="1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4.75" customHeight="1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4.75" customHeight="1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4.75" customHeight="1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4.75" customHeight="1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4.75" customHeight="1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4.75" customHeight="1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4.75" customHeight="1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4.75" customHeight="1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4.75" customHeight="1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4.75" customHeight="1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4.75" customHeight="1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4.75" customHeight="1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4.75" customHeight="1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4.75" customHeight="1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4.75" customHeight="1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4.75" customHeight="1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4.75" customHeight="1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4.75" customHeight="1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4.75" customHeight="1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4.75" customHeight="1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4.75" customHeight="1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4.75" customHeight="1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4.75" customHeight="1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4.75" customHeight="1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4.75" customHeight="1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4.75" customHeight="1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4.75" customHeight="1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4.75" customHeight="1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4.75" customHeight="1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4.75" customHeight="1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4.75" customHeight="1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4.75" customHeight="1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4.75" customHeight="1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4.75" customHeight="1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4.75" customHeight="1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4.75" customHeight="1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4.75" customHeight="1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4.75" customHeight="1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4.75" customHeight="1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4.75" customHeight="1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4.75" customHeight="1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4.75" customHeight="1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4.75" customHeight="1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4.75" customHeight="1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4.75" customHeight="1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4.75" customHeight="1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4.75" customHeight="1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4.75" customHeight="1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4.75" customHeight="1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4.75" customHeight="1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4.75" customHeight="1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4.75" customHeight="1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4.75" customHeight="1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4.75" customHeight="1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4.75" customHeight="1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4.75" customHeight="1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4.75" customHeight="1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4.75" customHeight="1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4.75" customHeight="1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4.75" customHeight="1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4.75" customHeight="1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4.75" customHeight="1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4.75" customHeight="1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4.75" customHeight="1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4.75" customHeight="1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4.75" customHeight="1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4.75" customHeight="1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4.75" customHeight="1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4.75" customHeight="1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4.75" customHeight="1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4.75" customHeight="1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4.75" customHeight="1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4.75" customHeight="1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4.75" customHeight="1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4.75" customHeight="1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4.75" customHeight="1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4.75" customHeight="1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4.75" customHeight="1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4.75" customHeight="1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4.75" customHeight="1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4.75" customHeight="1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4.75" customHeight="1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4.75" customHeight="1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4.75" customHeight="1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4.75" customHeight="1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4.75" customHeight="1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4.75" customHeight="1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4.75" customHeight="1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4.75" customHeight="1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4.75" customHeight="1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4.75" customHeight="1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4.75" customHeight="1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4.75" customHeight="1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4.75" customHeight="1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4.75" customHeight="1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4.75" customHeight="1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4.75" customHeight="1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4.75" customHeight="1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4.75" customHeight="1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4.75" customHeight="1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4.75" customHeight="1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4.75" customHeight="1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4.75" customHeight="1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4.75" customHeight="1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4.75" customHeight="1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4.75" customHeight="1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4.75" customHeight="1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4.75" customHeight="1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4.75" customHeight="1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4.75" customHeight="1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4.75" customHeight="1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4.75" customHeight="1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4.75" customHeight="1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4.75" customHeight="1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4.75" customHeight="1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4.75" customHeight="1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4.75" customHeight="1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4.75" customHeight="1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4.75" customHeight="1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4.75" customHeight="1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4.75" customHeight="1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4.75" customHeight="1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4.75" customHeight="1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4.75" customHeight="1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4.75" customHeight="1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4.75" customHeight="1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4.75" customHeight="1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4.75" customHeight="1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4.75" customHeight="1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4.75" customHeight="1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4.75" customHeight="1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4.75" customHeight="1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4.75" customHeight="1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4.75" customHeight="1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4.75" customHeight="1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4.75" customHeight="1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4.75" customHeight="1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4.75" customHeight="1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4.75" customHeight="1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4.75" customHeight="1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4.75" customHeight="1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4.75" customHeight="1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4.75" customHeight="1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4.75" customHeight="1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4.75" customHeight="1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4.75" customHeight="1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4.75" customHeight="1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4.75" customHeight="1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4.75" customHeight="1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4.75" customHeight="1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4.75" customHeight="1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4.75" customHeight="1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4.75" customHeight="1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4.75" customHeight="1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4.75" customHeight="1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4.75" customHeight="1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4.75" customHeight="1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4.75" customHeight="1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4.75" customHeight="1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4.75" customHeight="1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4.75" customHeight="1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4.75" customHeight="1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4.75" customHeight="1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4.75" customHeight="1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4.75" customHeight="1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4.75" customHeight="1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4.75" customHeight="1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4.75" customHeight="1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4.75" customHeight="1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4.75" customHeight="1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4.75" customHeight="1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4.75" customHeight="1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4.75" customHeight="1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4.75" customHeight="1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4.75" customHeight="1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4.75" customHeight="1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4.75" customHeight="1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4.75" customHeight="1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4.75" customHeight="1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4.75" customHeight="1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4.75" customHeight="1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4.75" customHeight="1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4.75" customHeight="1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4.75" customHeight="1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4.75" customHeight="1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4.75" customHeight="1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4.75" customHeight="1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4.75" customHeight="1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4.75" customHeight="1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4.75" customHeight="1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4.75" customHeight="1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4.75" customHeight="1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4.75" customHeight="1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4.75" customHeight="1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4.75" customHeight="1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4.75" customHeight="1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4.75" customHeight="1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4.75" customHeight="1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4.75" customHeight="1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4.75" customHeight="1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4.75" customHeight="1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4.75" customHeight="1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4.75" customHeight="1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4.75" customHeight="1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4.75" customHeight="1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4.75" customHeight="1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4.75" customHeight="1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4.75" customHeight="1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4.75" customHeight="1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4.75" customHeight="1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4.75" customHeight="1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4.75" customHeight="1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4.75" customHeight="1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4.75" customHeight="1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4.75" customHeight="1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4.75" customHeight="1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4.75" customHeight="1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4.75" customHeight="1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4.75" customHeight="1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4.75" customHeight="1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4.75" customHeight="1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4.75" customHeight="1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4.75" customHeight="1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4.75" customHeight="1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4.75" customHeight="1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4.75" customHeight="1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4.75" customHeight="1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4.75" customHeight="1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4.75" customHeight="1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4.75" customHeight="1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4.75" customHeight="1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4.75" customHeight="1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4.75" customHeight="1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4.75" customHeight="1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4.75" customHeight="1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4.75" customHeight="1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4.75" customHeight="1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4.75" customHeight="1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4.75" customHeight="1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4.75" customHeight="1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4.75" customHeight="1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4.75" customHeight="1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4.75" customHeight="1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4.75" customHeight="1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4.75" customHeight="1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4.75" customHeight="1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4.75" customHeight="1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4.75" customHeight="1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4.75" customHeight="1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4.75" customHeight="1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4.75" customHeight="1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4.75" customHeight="1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4.75" customHeight="1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4.75" customHeight="1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4.75" customHeight="1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4.75" customHeight="1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4.75" customHeight="1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4.75" customHeight="1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4.75" customHeight="1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4.75" customHeight="1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4.75" customHeight="1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4.75" customHeight="1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4.75" customHeight="1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4.75" customHeight="1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4.75" customHeight="1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4.75" customHeight="1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4.75" customHeight="1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4.75" customHeight="1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4.75" customHeight="1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4.75" customHeight="1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4.75" customHeight="1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4.75" customHeight="1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4.75" customHeight="1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4.75" customHeight="1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4.75" customHeight="1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4.75" customHeight="1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4.75" customHeight="1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4.75" customHeight="1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4.75" customHeight="1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4.75" customHeight="1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4.75" customHeight="1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4.75" customHeight="1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4.75" customHeight="1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4.75" customHeight="1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4.75" customHeight="1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4.75" customHeight="1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4.75" customHeight="1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4.75" customHeight="1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4.75" customHeight="1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4.75" customHeight="1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4.75" customHeight="1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4.75" customHeight="1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4.75" customHeight="1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4.75" customHeight="1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4.75" customHeight="1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4.75" customHeight="1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4.75" customHeight="1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4.75" customHeight="1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4.75" customHeight="1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4.75" customHeight="1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4.75" customHeight="1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4.75" customHeight="1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4.75" customHeight="1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4.75" customHeight="1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4.75" customHeight="1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4.75" customHeight="1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4.75" customHeight="1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4.75" customHeight="1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4.75" customHeight="1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4.75" customHeight="1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4.75" customHeight="1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4.75" customHeight="1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4.75" customHeight="1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4.75" customHeight="1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4.75" customHeight="1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4.75" customHeight="1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4.75" customHeight="1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4.75" customHeight="1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4.75" customHeight="1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4.75" customHeight="1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4.75" customHeight="1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4.75" customHeight="1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4.75" customHeight="1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4.75" customHeight="1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4.75" customHeight="1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4.75" customHeight="1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4.75" customHeight="1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4.75" customHeight="1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4.75" customHeight="1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4.75" customHeight="1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4.75" customHeight="1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4.75" customHeight="1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4.75" customHeight="1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4.75" customHeight="1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4.75" customHeight="1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4.75" customHeight="1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4.75" customHeight="1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4.75" customHeight="1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4.75" customHeight="1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4.75" customHeight="1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4.75" customHeight="1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4.75" customHeight="1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4.75" customHeight="1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4.75" customHeight="1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4.75" customHeight="1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4.75" customHeight="1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4.75" customHeight="1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4.75" customHeight="1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4.75" customHeight="1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4.75" customHeight="1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4.75" customHeight="1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4.75" customHeight="1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4.75" customHeight="1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4.75" customHeight="1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4.75" customHeight="1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4.75" customHeight="1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4.75" customHeight="1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4.75" customHeight="1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4.75" customHeight="1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4.75" customHeight="1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4.75" customHeight="1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4.75" customHeight="1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4.75" customHeight="1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4.75" customHeight="1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4.75" customHeight="1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4.75" customHeight="1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4.75" customHeight="1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4.75" customHeight="1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4.75" customHeight="1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4.75" customHeight="1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4.75" customHeight="1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4.75" customHeight="1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4.75" customHeight="1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4.75" customHeight="1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4.75" customHeight="1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4.75" customHeight="1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4.75" customHeight="1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4.75" customHeight="1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4.75" customHeight="1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4.75" customHeight="1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4.75" customHeight="1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4.75" customHeight="1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4.75" customHeight="1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4.75" customHeight="1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4.75" customHeight="1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4.75" customHeight="1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4.75" customHeight="1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4.75" customHeight="1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4.75" customHeight="1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4.75" customHeight="1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4.75" customHeight="1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4.75" customHeight="1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4.75" customHeight="1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4.75" customHeight="1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4.75" customHeight="1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4.75" customHeight="1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4.75" customHeight="1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4.75" customHeight="1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4.75" customHeight="1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4.75" customHeight="1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4.75" customHeight="1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4.75" customHeight="1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4.75" customHeight="1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4.75" customHeight="1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4.75" customHeight="1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4.75" customHeight="1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4.75" customHeight="1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4.75" customHeight="1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4.75" customHeight="1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4.75" customHeight="1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4.75" customHeight="1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4.75" customHeight="1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4.75" customHeight="1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4.75" customHeight="1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4.75" customHeight="1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4.75" customHeight="1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4.75" customHeight="1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4.75" customHeight="1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4.75" customHeight="1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4.75" customHeight="1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4.75" customHeight="1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4.75" customHeight="1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4.75" customHeight="1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4.75" customHeight="1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4.75" customHeight="1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4.75" customHeight="1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4.75" customHeight="1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4.75" customHeight="1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4.75" customHeight="1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4.75" customHeight="1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4.75" customHeight="1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4.75" customHeight="1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4.75" customHeight="1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4.75" customHeight="1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4.75" customHeight="1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4.75" customHeight="1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4.75" customHeight="1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4.75" customHeight="1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4.75" customHeight="1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4.75" customHeight="1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4.75" customHeight="1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4.75" customHeight="1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4.75" customHeight="1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4.75" customHeight="1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4.75" customHeight="1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4.75" customHeight="1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4.75" customHeight="1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4.75" customHeight="1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4.75" customHeight="1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4.75" customHeight="1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4.75" customHeight="1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4.75" customHeight="1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4.75" customHeight="1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4.75" customHeight="1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4.75" customHeight="1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4.75" customHeight="1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4.75" customHeight="1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4.75" customHeight="1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4.75" customHeight="1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4.75" customHeight="1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4.75" customHeight="1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4.75" customHeight="1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4.75" customHeight="1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4.75" customHeight="1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4.75" customHeight="1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4.75" customHeight="1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4.75" customHeight="1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4.75" customHeight="1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4.75" customHeight="1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4.75" customHeight="1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4.75" customHeight="1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4.75" customHeight="1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4.75" customHeight="1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4.75" customHeight="1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4.75" customHeight="1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4.75" customHeight="1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4.75" customHeight="1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4.75" customHeight="1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4.75" customHeight="1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4.75" customHeight="1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4.75" customHeight="1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4.75" customHeight="1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4.75" customHeight="1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4.75" customHeight="1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4.75" customHeight="1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4.75" customHeight="1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4.75" customHeight="1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4.75" customHeight="1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4.75" customHeight="1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4.75" customHeight="1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4.75" customHeight="1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4.75" customHeight="1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4.75" customHeight="1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4.75" customHeight="1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4.75" customHeight="1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4.75" customHeight="1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4.75" customHeight="1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4.75" customHeight="1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4.75" customHeight="1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4.75" customHeight="1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4.75" customHeight="1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4.75" customHeight="1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4.75" customHeight="1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4.75" customHeight="1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4.75" customHeight="1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4.75" customHeight="1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4.75" customHeight="1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4.75" customHeight="1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4.75" customHeight="1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4.75" customHeight="1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4.75" customHeight="1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4.75" customHeight="1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4.75" customHeight="1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4.75" customHeight="1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4.75" customHeight="1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4.75" customHeight="1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4.75" customHeight="1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4.75" customHeight="1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4.75" customHeight="1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4.75" customHeight="1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4.75" customHeight="1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4.75" customHeight="1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4.75" customHeight="1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4.75" customHeight="1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4.75" customHeight="1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4.75" customHeight="1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4.75" customHeight="1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4.75" customHeight="1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4.75" customHeight="1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4.75" customHeight="1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4.75" customHeight="1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4.75" customHeight="1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4.75" customHeight="1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4.75" customHeight="1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4.75" customHeight="1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4.75" customHeight="1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4.75" customHeight="1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4.75" customHeight="1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4.75" customHeight="1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4.75" customHeight="1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4.75" customHeight="1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4.75" customHeight="1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4.75" customHeight="1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4.75" customHeight="1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4.75" customHeight="1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4.75" customHeight="1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4.75" customHeight="1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4.75" customHeight="1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4.75" customHeight="1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4.75" customHeight="1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4.75" customHeight="1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4.75" customHeight="1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4.75" customHeight="1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4.75" customHeight="1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4.75" customHeight="1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4.75" customHeight="1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4.75" customHeight="1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4.75" customHeight="1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4.75" customHeight="1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4.75" customHeight="1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4.75" customHeight="1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4.75" customHeight="1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4.75" customHeight="1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4.75" customHeight="1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4.75" customHeight="1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4.75" customHeight="1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4.75" customHeight="1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4.75" customHeight="1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4.75" customHeight="1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4.75" customHeight="1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4.75" customHeight="1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4.75" customHeight="1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4.75" customHeight="1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4.75" customHeight="1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4.75" customHeight="1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4.75" customHeight="1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4.75" customHeight="1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4.75" customHeight="1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4.75" customHeight="1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4.75" customHeight="1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4.75" customHeight="1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4.75" customHeight="1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4.75" customHeight="1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4.75" customHeight="1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4.75" customHeight="1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4.75" customHeight="1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4.75" customHeight="1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4.75" customHeight="1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4.75" customHeight="1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4.75" customHeight="1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4.75" customHeight="1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4.75" customHeight="1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4.75" customHeight="1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4.75" customHeight="1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4.75" customHeight="1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4.75" customHeight="1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4.75" customHeight="1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4.75" customHeight="1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4.75" customHeight="1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4.75" customHeight="1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4.75" customHeight="1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4.75" customHeight="1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4.75" customHeight="1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4.75" customHeight="1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4.75" customHeight="1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4.75" customHeight="1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4.75" customHeight="1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4.75" customHeight="1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4.75" customHeight="1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4.75" customHeight="1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4.75" customHeight="1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4.75" customHeight="1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4.75" customHeight="1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4.75" customHeight="1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4.75" customHeight="1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4.75" customHeight="1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4.75" customHeight="1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4.75" customHeight="1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4.75" customHeight="1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4.75" customHeight="1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4.75" customHeight="1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4.75" customHeight="1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4.75" customHeight="1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4.75" customHeight="1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4.75" customHeight="1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4.75" customHeight="1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4.75" customHeight="1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4.75" customHeight="1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4.75" customHeight="1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4.75" customHeight="1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4.75" customHeight="1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4.75" customHeight="1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4.75" customHeight="1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4.75" customHeight="1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4.75" customHeight="1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4.75" customHeight="1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4.75" customHeight="1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4.75" customHeight="1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4.75" customHeight="1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4.75" customHeight="1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4.75" customHeight="1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4.75" customHeight="1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4.75" customHeight="1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4.75" customHeight="1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4.75" customHeight="1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4.75" customHeight="1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4.75" customHeight="1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4.75" customHeight="1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4.75" customHeight="1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4.75" customHeight="1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4.75" customHeight="1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4.75" customHeight="1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4.75" customHeight="1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4.75" customHeight="1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4.75" customHeight="1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4.75" customHeight="1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4.75" customHeight="1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4.75" customHeight="1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4.75" customHeight="1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4.75" customHeight="1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4.75" customHeight="1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4.75" customHeight="1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4.75" customHeight="1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4.75" customHeight="1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4.75" customHeight="1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4.75" customHeight="1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4.75" customHeight="1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4.75" customHeight="1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4.75" customHeight="1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4.75" customHeight="1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4.75" customHeight="1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4.75" customHeight="1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4.75" customHeight="1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4.75" customHeight="1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4.75" customHeight="1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4.75" customHeight="1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4.75" customHeight="1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4.75" customHeight="1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4.75" customHeight="1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4.75" customHeight="1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4.75" customHeight="1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4.75" customHeight="1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4.75" customHeight="1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4.75" customHeight="1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4.75" customHeight="1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4.75" customHeight="1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4.75" customHeight="1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4.75" customHeight="1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4.75" customHeight="1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4.75" customHeight="1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4.75" customHeight="1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4.75" customHeight="1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4.75" customHeight="1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4.75" customHeight="1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4.75" customHeight="1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4.75" customHeight="1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4.75" customHeight="1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4.75" customHeight="1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4.75" customHeight="1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4.75" customHeight="1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4.75" customHeight="1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4.75" customHeight="1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4.75" customHeight="1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4.75" customHeight="1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4.75" customHeight="1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4.75" customHeight="1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4.75" customHeight="1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4.75" customHeight="1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4.75" customHeight="1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4.75" customHeight="1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4.75" customHeight="1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4.75" customHeight="1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4.75" customHeight="1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4.75" customHeight="1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4.75" customHeight="1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4.75" customHeight="1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4.75" customHeight="1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4.75" customHeight="1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4.75" customHeight="1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4.75" customHeight="1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4.75" customHeight="1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4.75" customHeight="1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4.75" customHeight="1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4.75" customHeight="1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4.75" customHeight="1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4.75" customHeight="1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4.75" customHeight="1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4.75" customHeight="1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4.75" customHeight="1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4.75" customHeight="1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4.75" customHeight="1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4.75" customHeight="1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4.75" customHeight="1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4.75" customHeight="1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4.75" customHeight="1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4.75" customHeight="1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4.75" customHeight="1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4.75" customHeight="1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4.75" customHeight="1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4.75" customHeight="1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4.75" customHeight="1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4.75" customHeight="1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4.75" customHeight="1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4.75" customHeight="1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4.75" customHeight="1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4.75" customHeight="1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4.75" customHeight="1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4.75" customHeight="1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4.75" customHeight="1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4.75" customHeight="1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4.75" customHeight="1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4.75" customHeight="1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4.75" customHeight="1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4.75" customHeight="1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4.75" customHeight="1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4.75" customHeight="1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4.75" customHeight="1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4.75" customHeight="1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4.75" customHeight="1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4.75" customHeight="1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4.75" customHeight="1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4.75" customHeight="1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4.75" customHeight="1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4.75" customHeight="1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4.75" customHeight="1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4.75" customHeight="1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4.75" customHeight="1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4.75" customHeight="1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4.75" customHeight="1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4.75" customHeight="1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4.75" customHeight="1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4.75" customHeight="1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4.75" customHeight="1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4.75" customHeight="1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4.75" customHeight="1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4.75" customHeight="1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4.75" customHeight="1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4.75" customHeight="1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4.75" customHeight="1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4.75" customHeight="1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4.75" customHeight="1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4.75" customHeight="1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4.75" customHeight="1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4.75" customHeight="1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4.75" customHeight="1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4.75" customHeight="1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4.75" customHeight="1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4.75" customHeight="1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4.75" customHeight="1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4.75" customHeight="1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4.75" customHeight="1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4.75" customHeight="1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4.75" customHeight="1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4.75" customHeight="1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4.75" customHeight="1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4.75" customHeight="1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4.75" customHeight="1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4.75" customHeight="1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4.75" customHeight="1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4.75" customHeight="1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4.75" customHeight="1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4.75" customHeight="1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4.75" customHeight="1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4.75" customHeight="1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4.75" customHeight="1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4.75" customHeight="1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4.75" customHeight="1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4.75" customHeight="1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4.75" customHeight="1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4.75" customHeight="1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4.75" customHeight="1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4.75" customHeight="1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4.75" customHeight="1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4.75" customHeight="1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4.75" customHeight="1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4.75" customHeight="1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4.75" customHeight="1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4.75" customHeight="1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4.75" customHeight="1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4.75" customHeight="1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4.75" customHeight="1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4.75" customHeight="1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4.75" customHeight="1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4.75" customHeight="1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4.75" customHeight="1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4.75" customHeight="1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4.75" customHeight="1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4.75" customHeight="1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4.75" customHeight="1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4.75" customHeight="1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4.75" customHeight="1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4.75" customHeight="1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4.75" customHeight="1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4.75" customHeight="1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4.75" customHeight="1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4.75" customHeight="1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4.75" customHeight="1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4.75" customHeight="1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4.75" customHeight="1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4.75" customHeight="1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4.75" customHeight="1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4.75" customHeight="1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4.75" customHeight="1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4.75" customHeight="1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4.75" customHeight="1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4.75" customHeight="1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4.75" customHeight="1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4.75" customHeight="1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4.75" customHeight="1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4.75" customHeight="1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4.75" customHeight="1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4.75" customHeight="1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4.75" customHeight="1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4.75" customHeight="1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4.75" customHeight="1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4.75" customHeight="1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4.75" customHeight="1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4.75" customHeight="1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4.75" customHeight="1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4.75" customHeight="1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4.75" customHeight="1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4.75" customHeight="1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4.75" customHeight="1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4.75" customHeight="1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4.75" customHeight="1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4.75" customHeight="1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4.75" customHeight="1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4.75" customHeight="1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4.75" customHeight="1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4.75" customHeight="1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4.75" customHeight="1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4.75" customHeight="1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4.75" customHeight="1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4.75" customHeight="1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4.75" customHeight="1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4.75" customHeight="1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4.75" customHeight="1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4.75" customHeight="1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4.75" customHeight="1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4.75" customHeight="1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4.75" customHeight="1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4.75" customHeight="1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4.75" customHeight="1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4.75" customHeight="1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4.75" customHeight="1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4.75" customHeight="1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4.75" customHeight="1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4.75" customHeight="1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4.75" customHeight="1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4.75" customHeight="1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4.75" customHeight="1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4.75" customHeight="1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4.75" customHeight="1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4.75" customHeight="1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4.75" customHeight="1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4.75" customHeight="1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4.75" customHeight="1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4.75" customHeight="1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4.75" customHeight="1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4.75" customHeight="1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4.75" customHeight="1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4.75" customHeight="1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4.75" customHeight="1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4.75" customHeight="1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4.75" customHeight="1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4.75" customHeight="1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4.75" customHeight="1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4.75" customHeight="1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4.75" customHeight="1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4.75" customHeight="1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4.75" customHeight="1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4.75" customHeight="1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4.75" customHeight="1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4.75" customHeight="1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4.75" customHeight="1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4.75" customHeight="1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4.75" customHeight="1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4.75" customHeight="1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4.75" customHeight="1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4.75" customHeight="1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4.75" customHeight="1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4.75" customHeight="1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4.75" customHeight="1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4.75" customHeight="1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4.75" customHeight="1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4.75" customHeight="1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4.75" customHeight="1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4.75" customHeight="1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4.75" customHeight="1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B1:K1"/>
    <mergeCell ref="L1:R1"/>
    <mergeCell ref="H16:H17"/>
    <mergeCell ref="H18:H19"/>
  </mergeCells>
  <printOptions horizontalCentered="1"/>
  <pageMargins bottom="0.25" footer="0.0" header="0.0" left="0.25" right="0.25" top="0.2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3" width="12.89"/>
    <col customWidth="1" min="4" max="4" width="14.33"/>
    <col customWidth="1" min="5" max="5" width="16.33"/>
    <col customWidth="1" min="6" max="8" width="11.0"/>
    <col customWidth="1" min="9" max="9" width="14.44"/>
    <col customWidth="1" min="10" max="10" width="17.33"/>
    <col customWidth="1" min="11" max="11" width="8.44"/>
    <col customWidth="1" min="12" max="13" width="10.89"/>
    <col customWidth="1" min="14" max="14" width="11.44"/>
    <col customWidth="1" min="15" max="26" width="10.89"/>
  </cols>
  <sheetData>
    <row r="1" ht="45.75" customHeight="1">
      <c r="A1" s="1"/>
      <c r="B1" s="2" t="s">
        <v>0</v>
      </c>
      <c r="L1" s="2"/>
      <c r="S1" s="3"/>
      <c r="T1" s="3"/>
      <c r="U1" s="3"/>
      <c r="V1" s="3"/>
      <c r="W1" s="3"/>
      <c r="X1" s="3"/>
      <c r="Y1" s="3"/>
      <c r="Z1" s="3"/>
    </row>
    <row r="2" ht="24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3"/>
      <c r="L2" s="6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4.75" customHeight="1">
      <c r="A3" s="7">
        <v>1.0</v>
      </c>
      <c r="B3" s="8" t="s">
        <v>11</v>
      </c>
      <c r="C3" s="8" t="s">
        <v>12</v>
      </c>
      <c r="D3" s="9" t="s">
        <v>65</v>
      </c>
      <c r="E3" s="9" t="str">
        <f t="shared" ref="E3:E17" si="1">VLOOKUP(LEFT(B3,2),$E$25:$F$27,2,0)</f>
        <v>教育学科</v>
      </c>
      <c r="F3" s="10">
        <v>9.0</v>
      </c>
      <c r="G3" s="10">
        <v>8.5</v>
      </c>
      <c r="H3" s="10">
        <v>7.5</v>
      </c>
      <c r="I3" s="11">
        <f t="shared" ref="I3:I17" si="2">IF(E3=F$27,SUM(F3:H3),F3*2+G3+H3)</f>
        <v>34</v>
      </c>
      <c r="J3" s="12" t="str">
        <f t="shared" ref="J3:J17" si="3">IF(I3&gt;=25,"dau","rot")</f>
        <v>dau</v>
      </c>
      <c r="K3" s="3"/>
      <c r="L3" s="13" t="s">
        <v>15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4.75" customHeight="1">
      <c r="A4" s="7">
        <v>2.0</v>
      </c>
      <c r="B4" s="8" t="s">
        <v>16</v>
      </c>
      <c r="C4" s="8" t="s">
        <v>17</v>
      </c>
      <c r="D4" s="9" t="s">
        <v>65</v>
      </c>
      <c r="E4" s="9" t="str">
        <f t="shared" si="1"/>
        <v>経営学科</v>
      </c>
      <c r="F4" s="10">
        <v>9.0</v>
      </c>
      <c r="G4" s="10">
        <v>7.0</v>
      </c>
      <c r="H4" s="10">
        <v>6.0</v>
      </c>
      <c r="I4" s="11">
        <f t="shared" si="2"/>
        <v>22</v>
      </c>
      <c r="J4" s="31" t="str">
        <f t="shared" si="3"/>
        <v>rot</v>
      </c>
      <c r="K4" s="3"/>
      <c r="L4" s="13" t="s">
        <v>19</v>
      </c>
      <c r="M4" s="14"/>
      <c r="N4" s="14"/>
      <c r="O4" s="14"/>
      <c r="P4" s="14"/>
      <c r="Q4" s="14"/>
      <c r="R4" s="14"/>
      <c r="S4" s="3"/>
      <c r="T4" s="3"/>
      <c r="U4" s="3"/>
      <c r="V4" s="3"/>
      <c r="W4" s="3"/>
      <c r="X4" s="3"/>
      <c r="Y4" s="3"/>
      <c r="Z4" s="3"/>
    </row>
    <row r="5" ht="24.75" customHeight="1">
      <c r="A5" s="7">
        <v>3.0</v>
      </c>
      <c r="B5" s="8" t="s">
        <v>39</v>
      </c>
      <c r="C5" s="8" t="s">
        <v>66</v>
      </c>
      <c r="D5" s="9" t="s">
        <v>67</v>
      </c>
      <c r="E5" s="9" t="str">
        <f t="shared" si="1"/>
        <v>経営学科</v>
      </c>
      <c r="F5" s="10">
        <v>5.0</v>
      </c>
      <c r="G5" s="10">
        <v>7.0</v>
      </c>
      <c r="H5" s="10">
        <v>6.0</v>
      </c>
      <c r="I5" s="11">
        <f t="shared" si="2"/>
        <v>18</v>
      </c>
      <c r="J5" s="31" t="str">
        <f t="shared" si="3"/>
        <v>rot</v>
      </c>
      <c r="K5" s="3"/>
      <c r="L5" s="13"/>
      <c r="M5" s="14"/>
      <c r="N5" s="14"/>
      <c r="O5" s="14"/>
      <c r="P5" s="14"/>
      <c r="Q5" s="14"/>
      <c r="R5" s="14"/>
      <c r="S5" s="3"/>
      <c r="T5" s="3"/>
      <c r="U5" s="3"/>
      <c r="V5" s="3"/>
      <c r="W5" s="3"/>
      <c r="X5" s="3"/>
      <c r="Y5" s="3"/>
      <c r="Z5" s="3"/>
    </row>
    <row r="6" ht="24.75" customHeight="1">
      <c r="A6" s="7">
        <v>4.0</v>
      </c>
      <c r="B6" s="8" t="s">
        <v>20</v>
      </c>
      <c r="C6" s="8" t="s">
        <v>21</v>
      </c>
      <c r="D6" s="9" t="s">
        <v>65</v>
      </c>
      <c r="E6" s="9" t="str">
        <f t="shared" si="1"/>
        <v>日本語学科</v>
      </c>
      <c r="F6" s="10">
        <v>8.0</v>
      </c>
      <c r="G6" s="10">
        <v>5.0</v>
      </c>
      <c r="H6" s="10">
        <v>7.0</v>
      </c>
      <c r="I6" s="11">
        <f t="shared" si="2"/>
        <v>28</v>
      </c>
      <c r="J6" s="12" t="str">
        <f t="shared" si="3"/>
        <v>dau</v>
      </c>
      <c r="K6" s="3"/>
      <c r="L6" s="14" t="s">
        <v>4</v>
      </c>
      <c r="M6" s="3"/>
      <c r="N6" s="3"/>
      <c r="O6" s="3"/>
      <c r="P6" s="3"/>
      <c r="Q6" s="3"/>
      <c r="R6" s="15" t="s">
        <v>22</v>
      </c>
      <c r="S6" s="3"/>
      <c r="T6" s="3"/>
      <c r="U6" s="3"/>
      <c r="V6" s="3"/>
      <c r="W6" s="3"/>
      <c r="X6" s="3"/>
      <c r="Y6" s="3"/>
      <c r="Z6" s="3"/>
    </row>
    <row r="7" ht="24.75" customHeight="1">
      <c r="A7" s="7">
        <v>5.0</v>
      </c>
      <c r="B7" s="8" t="s">
        <v>16</v>
      </c>
      <c r="C7" s="8" t="s">
        <v>68</v>
      </c>
      <c r="D7" s="9" t="s">
        <v>65</v>
      </c>
      <c r="E7" s="9" t="str">
        <f t="shared" si="1"/>
        <v>経営学科</v>
      </c>
      <c r="F7" s="10">
        <v>9.0</v>
      </c>
      <c r="G7" s="10">
        <v>6.5</v>
      </c>
      <c r="H7" s="10">
        <v>0.0</v>
      </c>
      <c r="I7" s="11">
        <f t="shared" si="2"/>
        <v>15.5</v>
      </c>
      <c r="J7" s="31" t="str">
        <f t="shared" si="3"/>
        <v>rot</v>
      </c>
      <c r="K7" s="3"/>
      <c r="L7" s="14"/>
      <c r="M7" s="3"/>
      <c r="N7" s="3"/>
      <c r="O7" s="3"/>
      <c r="P7" s="3"/>
      <c r="Q7" s="3"/>
      <c r="R7" s="15"/>
      <c r="S7" s="3"/>
      <c r="T7" s="3"/>
      <c r="U7" s="3"/>
      <c r="V7" s="3"/>
      <c r="W7" s="3"/>
      <c r="X7" s="3"/>
      <c r="Y7" s="3"/>
      <c r="Z7" s="3"/>
    </row>
    <row r="8" ht="24.75" customHeight="1">
      <c r="A8" s="7">
        <v>6.0</v>
      </c>
      <c r="B8" s="8" t="s">
        <v>23</v>
      </c>
      <c r="C8" s="8" t="s">
        <v>24</v>
      </c>
      <c r="D8" s="9" t="s">
        <v>67</v>
      </c>
      <c r="E8" s="9" t="str">
        <f t="shared" si="1"/>
        <v>教育学科</v>
      </c>
      <c r="F8" s="10">
        <v>9.0</v>
      </c>
      <c r="G8" s="10">
        <v>10.0</v>
      </c>
      <c r="H8" s="10">
        <v>8.5</v>
      </c>
      <c r="I8" s="11">
        <f t="shared" si="2"/>
        <v>36.5</v>
      </c>
      <c r="J8" s="12" t="str">
        <f t="shared" si="3"/>
        <v>dau</v>
      </c>
      <c r="K8" s="3"/>
      <c r="L8" s="14" t="s">
        <v>5</v>
      </c>
      <c r="M8" s="3"/>
      <c r="N8" s="3"/>
      <c r="O8" s="3"/>
      <c r="P8" s="3"/>
      <c r="Q8" s="3"/>
      <c r="R8" s="15" t="s">
        <v>22</v>
      </c>
      <c r="S8" s="3"/>
      <c r="T8" s="3"/>
      <c r="U8" s="3"/>
      <c r="V8" s="3"/>
      <c r="W8" s="3"/>
      <c r="X8" s="3"/>
      <c r="Y8" s="3"/>
      <c r="Z8" s="3"/>
    </row>
    <row r="9" ht="24.75" customHeight="1">
      <c r="A9" s="7">
        <v>7.0</v>
      </c>
      <c r="B9" s="8" t="s">
        <v>26</v>
      </c>
      <c r="C9" s="8" t="s">
        <v>27</v>
      </c>
      <c r="D9" s="9" t="s">
        <v>67</v>
      </c>
      <c r="E9" s="9" t="str">
        <f t="shared" si="1"/>
        <v>日本語学科</v>
      </c>
      <c r="F9" s="10">
        <v>10.0</v>
      </c>
      <c r="G9" s="10">
        <v>7.0</v>
      </c>
      <c r="H9" s="10">
        <v>5.0</v>
      </c>
      <c r="I9" s="11">
        <f t="shared" si="2"/>
        <v>32</v>
      </c>
      <c r="J9" s="12" t="str">
        <f t="shared" si="3"/>
        <v>dau</v>
      </c>
      <c r="K9" s="3"/>
      <c r="L9" s="14" t="s">
        <v>28</v>
      </c>
      <c r="M9" s="3"/>
      <c r="N9" s="3"/>
      <c r="O9" s="3"/>
      <c r="P9" s="3"/>
      <c r="Q9" s="3"/>
      <c r="R9" s="15" t="s">
        <v>29</v>
      </c>
      <c r="S9" s="3"/>
      <c r="T9" s="3"/>
      <c r="U9" s="3"/>
      <c r="V9" s="3"/>
      <c r="W9" s="3"/>
      <c r="X9" s="3"/>
      <c r="Y9" s="3"/>
      <c r="Z9" s="3"/>
    </row>
    <row r="10" ht="24.75" customHeight="1">
      <c r="A10" s="7">
        <v>8.0</v>
      </c>
      <c r="B10" s="8" t="s">
        <v>11</v>
      </c>
      <c r="C10" s="8" t="s">
        <v>69</v>
      </c>
      <c r="D10" s="9" t="s">
        <v>65</v>
      </c>
      <c r="E10" s="9" t="str">
        <f t="shared" si="1"/>
        <v>教育学科</v>
      </c>
      <c r="F10" s="10">
        <v>4.0</v>
      </c>
      <c r="G10" s="10">
        <v>5.0</v>
      </c>
      <c r="H10" s="10">
        <v>5.0</v>
      </c>
      <c r="I10" s="11">
        <f t="shared" si="2"/>
        <v>18</v>
      </c>
      <c r="J10" s="31" t="str">
        <f t="shared" si="3"/>
        <v>rot</v>
      </c>
      <c r="K10" s="3"/>
      <c r="L10" s="14"/>
      <c r="M10" s="3"/>
      <c r="N10" s="3"/>
      <c r="O10" s="3"/>
      <c r="P10" s="3"/>
      <c r="Q10" s="3"/>
      <c r="R10" s="15"/>
      <c r="S10" s="3"/>
      <c r="T10" s="3"/>
      <c r="U10" s="3"/>
      <c r="V10" s="3"/>
      <c r="W10" s="3"/>
      <c r="X10" s="3"/>
      <c r="Y10" s="3"/>
      <c r="Z10" s="3"/>
    </row>
    <row r="11" ht="24.75" customHeight="1">
      <c r="A11" s="7">
        <v>9.0</v>
      </c>
      <c r="B11" s="8" t="s">
        <v>26</v>
      </c>
      <c r="C11" s="8" t="s">
        <v>30</v>
      </c>
      <c r="D11" s="9" t="s">
        <v>67</v>
      </c>
      <c r="E11" s="9" t="str">
        <f t="shared" si="1"/>
        <v>日本語学科</v>
      </c>
      <c r="F11" s="10">
        <v>7.0</v>
      </c>
      <c r="G11" s="10">
        <v>6.0</v>
      </c>
      <c r="H11" s="10">
        <v>8.0</v>
      </c>
      <c r="I11" s="11">
        <f t="shared" si="2"/>
        <v>28</v>
      </c>
      <c r="J11" s="12" t="str">
        <f t="shared" si="3"/>
        <v>dau</v>
      </c>
      <c r="K11" s="3"/>
      <c r="L11" s="16" t="s">
        <v>31</v>
      </c>
      <c r="M11" s="3" t="s">
        <v>32</v>
      </c>
      <c r="N11" s="3"/>
      <c r="O11" s="17" t="s">
        <v>33</v>
      </c>
      <c r="P11" s="3"/>
      <c r="Q11" s="3"/>
      <c r="R11" s="15"/>
      <c r="S11" s="3"/>
      <c r="T11" s="3"/>
      <c r="U11" s="3"/>
      <c r="V11" s="3"/>
      <c r="W11" s="3"/>
      <c r="X11" s="3"/>
      <c r="Y11" s="3"/>
      <c r="Z11" s="3"/>
    </row>
    <row r="12" ht="24.75" customHeight="1">
      <c r="A12" s="7">
        <v>10.0</v>
      </c>
      <c r="B12" s="8" t="s">
        <v>16</v>
      </c>
      <c r="C12" s="8" t="s">
        <v>34</v>
      </c>
      <c r="D12" s="9" t="s">
        <v>65</v>
      </c>
      <c r="E12" s="9" t="str">
        <f t="shared" si="1"/>
        <v>経営学科</v>
      </c>
      <c r="F12" s="10">
        <v>9.0</v>
      </c>
      <c r="G12" s="10">
        <v>8.5</v>
      </c>
      <c r="H12" s="10">
        <v>8.5</v>
      </c>
      <c r="I12" s="11">
        <f t="shared" si="2"/>
        <v>26</v>
      </c>
      <c r="J12" s="12" t="str">
        <f t="shared" si="3"/>
        <v>dau</v>
      </c>
      <c r="K12" s="3"/>
      <c r="L12" s="3"/>
      <c r="M12" s="3" t="s">
        <v>35</v>
      </c>
      <c r="N12" s="3"/>
      <c r="O12" s="17" t="s">
        <v>36</v>
      </c>
      <c r="P12" s="3"/>
      <c r="Q12" s="3"/>
      <c r="R12" s="15"/>
      <c r="S12" s="3"/>
      <c r="T12" s="3"/>
      <c r="U12" s="3"/>
      <c r="V12" s="3"/>
      <c r="W12" s="3"/>
      <c r="X12" s="3"/>
      <c r="Y12" s="3"/>
      <c r="Z12" s="3"/>
    </row>
    <row r="13" ht="24.75" customHeight="1">
      <c r="A13" s="7">
        <v>11.0</v>
      </c>
      <c r="B13" s="8" t="s">
        <v>26</v>
      </c>
      <c r="C13" s="8" t="s">
        <v>37</v>
      </c>
      <c r="D13" s="9" t="s">
        <v>67</v>
      </c>
      <c r="E13" s="9" t="str">
        <f t="shared" si="1"/>
        <v>日本語学科</v>
      </c>
      <c r="F13" s="10">
        <v>7.0</v>
      </c>
      <c r="G13" s="10">
        <v>7.0</v>
      </c>
      <c r="H13" s="10">
        <v>7.0</v>
      </c>
      <c r="I13" s="11">
        <f t="shared" si="2"/>
        <v>28</v>
      </c>
      <c r="J13" s="12" t="str">
        <f t="shared" si="3"/>
        <v>dau</v>
      </c>
      <c r="K13" s="3"/>
      <c r="L13" s="14" t="s">
        <v>38</v>
      </c>
      <c r="M13" s="3"/>
      <c r="N13" s="3"/>
      <c r="O13" s="3"/>
      <c r="P13" s="3"/>
      <c r="Q13" s="3"/>
      <c r="R13" s="15" t="s">
        <v>22</v>
      </c>
      <c r="S13" s="3"/>
      <c r="T13" s="3"/>
      <c r="U13" s="3"/>
      <c r="V13" s="3"/>
      <c r="W13" s="3"/>
      <c r="X13" s="3"/>
      <c r="Y13" s="3"/>
      <c r="Z13" s="3"/>
    </row>
    <row r="14" ht="24.75" customHeight="1">
      <c r="A14" s="7">
        <v>12.0</v>
      </c>
      <c r="B14" s="8" t="s">
        <v>11</v>
      </c>
      <c r="C14" s="8" t="s">
        <v>70</v>
      </c>
      <c r="D14" s="9" t="s">
        <v>65</v>
      </c>
      <c r="E14" s="9" t="str">
        <f t="shared" si="1"/>
        <v>教育学科</v>
      </c>
      <c r="F14" s="10">
        <v>4.0</v>
      </c>
      <c r="G14" s="10">
        <v>6.0</v>
      </c>
      <c r="H14" s="10">
        <v>7.0</v>
      </c>
      <c r="I14" s="11">
        <f t="shared" si="2"/>
        <v>21</v>
      </c>
      <c r="J14" s="31" t="str">
        <f t="shared" si="3"/>
        <v>rot</v>
      </c>
      <c r="K14" s="3"/>
      <c r="L14" s="14"/>
      <c r="M14" s="3"/>
      <c r="N14" s="3"/>
      <c r="O14" s="3"/>
      <c r="P14" s="3"/>
      <c r="Q14" s="3"/>
      <c r="R14" s="15"/>
      <c r="S14" s="3"/>
      <c r="T14" s="3"/>
      <c r="U14" s="3"/>
      <c r="V14" s="3"/>
      <c r="W14" s="3"/>
      <c r="X14" s="3"/>
      <c r="Y14" s="3"/>
      <c r="Z14" s="3"/>
    </row>
    <row r="15" ht="24.75" customHeight="1">
      <c r="A15" s="7">
        <v>13.0</v>
      </c>
      <c r="B15" s="8" t="s">
        <v>39</v>
      </c>
      <c r="C15" s="8" t="s">
        <v>40</v>
      </c>
      <c r="D15" s="9" t="s">
        <v>67</v>
      </c>
      <c r="E15" s="9" t="str">
        <f t="shared" si="1"/>
        <v>経営学科</v>
      </c>
      <c r="F15" s="10">
        <v>9.5</v>
      </c>
      <c r="G15" s="10">
        <v>9.0</v>
      </c>
      <c r="H15" s="10">
        <v>7.0</v>
      </c>
      <c r="I15" s="11">
        <f t="shared" si="2"/>
        <v>25.5</v>
      </c>
      <c r="J15" s="12" t="str">
        <f t="shared" si="3"/>
        <v>dau</v>
      </c>
      <c r="K15" s="3"/>
      <c r="L15" s="14" t="s">
        <v>41</v>
      </c>
      <c r="M15" s="3"/>
      <c r="N15" s="3"/>
      <c r="O15" s="3"/>
      <c r="P15" s="3"/>
      <c r="Q15" s="3"/>
      <c r="R15" s="15" t="s">
        <v>42</v>
      </c>
      <c r="S15" s="3"/>
      <c r="T15" s="3"/>
      <c r="U15" s="3"/>
      <c r="V15" s="3"/>
      <c r="W15" s="3"/>
      <c r="X15" s="3"/>
      <c r="Y15" s="3"/>
      <c r="Z15" s="3"/>
    </row>
    <row r="16" ht="24.75" customHeight="1">
      <c r="A16" s="7">
        <v>14.0</v>
      </c>
      <c r="B16" s="8" t="s">
        <v>26</v>
      </c>
      <c r="C16" s="8" t="s">
        <v>71</v>
      </c>
      <c r="D16" s="9" t="s">
        <v>67</v>
      </c>
      <c r="E16" s="9" t="str">
        <f t="shared" si="1"/>
        <v>日本語学科</v>
      </c>
      <c r="F16" s="10">
        <v>4.5</v>
      </c>
      <c r="G16" s="10">
        <v>5.0</v>
      </c>
      <c r="H16" s="10">
        <v>6.0</v>
      </c>
      <c r="I16" s="11">
        <f t="shared" si="2"/>
        <v>20</v>
      </c>
      <c r="J16" s="31" t="str">
        <f t="shared" si="3"/>
        <v>rot</v>
      </c>
      <c r="K16" s="3"/>
      <c r="L16" s="14"/>
      <c r="M16" s="3"/>
      <c r="N16" s="3"/>
      <c r="O16" s="3"/>
      <c r="P16" s="3"/>
      <c r="Q16" s="3"/>
      <c r="R16" s="15"/>
      <c r="S16" s="3"/>
      <c r="T16" s="3"/>
      <c r="U16" s="3"/>
      <c r="V16" s="3"/>
      <c r="W16" s="3"/>
      <c r="X16" s="3"/>
      <c r="Y16" s="3"/>
      <c r="Z16" s="3"/>
    </row>
    <row r="17" ht="24.75" customHeight="1">
      <c r="A17" s="7">
        <v>15.0</v>
      </c>
      <c r="B17" s="8" t="s">
        <v>11</v>
      </c>
      <c r="C17" s="8" t="s">
        <v>43</v>
      </c>
      <c r="D17" s="9" t="s">
        <v>65</v>
      </c>
      <c r="E17" s="9" t="str">
        <f t="shared" si="1"/>
        <v>教育学科</v>
      </c>
      <c r="F17" s="10">
        <v>5.0</v>
      </c>
      <c r="G17" s="10">
        <v>7.0</v>
      </c>
      <c r="H17" s="10">
        <v>8.5</v>
      </c>
      <c r="I17" s="11">
        <f t="shared" si="2"/>
        <v>25.5</v>
      </c>
      <c r="J17" s="12" t="str">
        <f t="shared" si="3"/>
        <v>dau</v>
      </c>
      <c r="K17" s="3"/>
      <c r="L17" s="14" t="s">
        <v>44</v>
      </c>
      <c r="M17" s="3"/>
      <c r="N17" s="3"/>
      <c r="O17" s="3"/>
      <c r="P17" s="3"/>
      <c r="Q17" s="3"/>
      <c r="R17" s="15" t="s">
        <v>42</v>
      </c>
      <c r="S17" s="3"/>
      <c r="T17" s="3"/>
      <c r="U17" s="3"/>
      <c r="V17" s="3"/>
      <c r="W17" s="3"/>
      <c r="X17" s="3"/>
      <c r="Y17" s="3"/>
      <c r="Z17" s="3"/>
    </row>
    <row r="18" ht="24.75" customHeight="1">
      <c r="A18" s="1"/>
      <c r="B18" s="3"/>
      <c r="C18" s="3"/>
      <c r="D18" s="3"/>
      <c r="E18" s="18" t="s">
        <v>41</v>
      </c>
      <c r="F18" s="11" t="s">
        <v>45</v>
      </c>
      <c r="G18" s="11" t="s">
        <v>45</v>
      </c>
      <c r="H18" s="11" t="s">
        <v>45</v>
      </c>
      <c r="I18" s="11" t="s">
        <v>45</v>
      </c>
      <c r="J18" s="3"/>
      <c r="K18" s="3"/>
      <c r="L18" s="14" t="s">
        <v>46</v>
      </c>
      <c r="M18" s="3"/>
      <c r="N18" s="3"/>
      <c r="O18" s="3"/>
      <c r="P18" s="3"/>
      <c r="Q18" s="3"/>
      <c r="R18" s="15" t="s">
        <v>22</v>
      </c>
      <c r="S18" s="3"/>
      <c r="T18" s="3"/>
      <c r="U18" s="3"/>
      <c r="V18" s="3"/>
      <c r="W18" s="3"/>
      <c r="X18" s="3"/>
      <c r="Y18" s="3"/>
      <c r="Z18" s="3"/>
    </row>
    <row r="19" ht="24.75" customHeight="1">
      <c r="A19" s="1"/>
      <c r="B19" s="3"/>
      <c r="C19" s="3"/>
      <c r="D19" s="3"/>
      <c r="E19" s="19" t="s">
        <v>47</v>
      </c>
      <c r="F19" s="11" t="s">
        <v>45</v>
      </c>
      <c r="G19" s="11" t="s">
        <v>45</v>
      </c>
      <c r="H19" s="11" t="s">
        <v>45</v>
      </c>
      <c r="I19" s="11" t="s">
        <v>45</v>
      </c>
      <c r="J19" s="3"/>
      <c r="K19" s="3"/>
      <c r="L19" s="3" t="s">
        <v>48</v>
      </c>
      <c r="M19" s="3"/>
      <c r="N19" s="3"/>
      <c r="O19" s="3"/>
      <c r="P19" s="3"/>
      <c r="Q19" s="3"/>
      <c r="R19" s="15" t="s">
        <v>42</v>
      </c>
      <c r="S19" s="3"/>
      <c r="T19" s="3"/>
      <c r="U19" s="3"/>
      <c r="V19" s="3"/>
      <c r="W19" s="3"/>
      <c r="X19" s="3"/>
      <c r="Y19" s="3"/>
      <c r="Z19" s="3"/>
    </row>
    <row r="20" ht="24.75" customHeight="1">
      <c r="A20" s="1"/>
      <c r="B20" s="32"/>
      <c r="C20" s="3"/>
      <c r="D20" s="3"/>
      <c r="E20" s="19" t="s">
        <v>49</v>
      </c>
      <c r="F20" s="11" t="s">
        <v>45</v>
      </c>
      <c r="G20" s="11" t="s">
        <v>45</v>
      </c>
      <c r="H20" s="11" t="s">
        <v>45</v>
      </c>
      <c r="I20" s="20" t="s">
        <v>45</v>
      </c>
      <c r="J20" s="3"/>
      <c r="K20" s="3"/>
      <c r="L20" s="17" t="s">
        <v>50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4.75" customHeight="1">
      <c r="A21" s="1"/>
      <c r="B21" s="32"/>
      <c r="C21" s="3"/>
      <c r="D21" s="3"/>
      <c r="E21" s="3"/>
      <c r="F21" s="3"/>
      <c r="G21" s="3"/>
      <c r="H21" s="21" t="s">
        <v>46</v>
      </c>
      <c r="I21" s="22" t="s">
        <v>51</v>
      </c>
      <c r="J21" s="11">
        <f>COUNTIFS(D3:D17,D3,J3:J17,J3)</f>
        <v>4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4.75" customHeight="1">
      <c r="A22" s="1"/>
      <c r="B22" s="3"/>
      <c r="C22" s="3"/>
      <c r="D22" s="3"/>
      <c r="E22" s="3"/>
      <c r="F22" s="3"/>
      <c r="G22" s="3"/>
      <c r="H22" s="23"/>
      <c r="I22" s="22" t="s">
        <v>52</v>
      </c>
      <c r="J22" s="11">
        <f>COUNTIFS(D3:D17,D8,J3:J17,J3)</f>
        <v>5</v>
      </c>
      <c r="K22" s="3"/>
      <c r="L22" s="17" t="s">
        <v>53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4.75" customHeight="1">
      <c r="A23" s="1"/>
      <c r="B23" s="3"/>
      <c r="C23" s="3"/>
      <c r="D23" s="3"/>
      <c r="E23" s="24"/>
      <c r="F23" s="17"/>
      <c r="G23" s="17"/>
      <c r="H23" s="21" t="s">
        <v>48</v>
      </c>
      <c r="I23" s="25" t="s">
        <v>51</v>
      </c>
      <c r="J23" s="26">
        <f>J21/COUNTIF(D3:D17,D3)</f>
        <v>0.5</v>
      </c>
      <c r="K23" s="3"/>
      <c r="L23" s="17" t="s">
        <v>54</v>
      </c>
      <c r="M23" s="3"/>
      <c r="N23" s="3"/>
      <c r="O23" s="3"/>
      <c r="P23" s="3"/>
      <c r="Q23" s="3"/>
      <c r="R23" s="15" t="s">
        <v>42</v>
      </c>
      <c r="S23" s="3"/>
      <c r="T23" s="3"/>
      <c r="U23" s="3"/>
      <c r="V23" s="3"/>
      <c r="W23" s="3"/>
      <c r="X23" s="3"/>
      <c r="Y23" s="3"/>
      <c r="Z23" s="3"/>
    </row>
    <row r="24" ht="24.75" customHeight="1">
      <c r="A24" s="27"/>
      <c r="B24" s="28">
        <v>1.0</v>
      </c>
      <c r="C24" s="28">
        <v>2.0</v>
      </c>
      <c r="D24" s="3"/>
      <c r="E24" s="27"/>
      <c r="F24" s="28" t="s">
        <v>5</v>
      </c>
      <c r="G24" s="17"/>
      <c r="H24" s="23"/>
      <c r="I24" s="22" t="s">
        <v>52</v>
      </c>
      <c r="J24" s="26">
        <f>J22/COUNTIF(D3:D17,D8)</f>
        <v>0.7142857143</v>
      </c>
      <c r="K24" s="3"/>
      <c r="L24" s="17" t="s">
        <v>55</v>
      </c>
      <c r="M24" s="3"/>
      <c r="N24" s="3"/>
      <c r="O24" s="3"/>
      <c r="P24" s="3"/>
      <c r="Q24" s="3"/>
      <c r="R24" s="15" t="s">
        <v>42</v>
      </c>
      <c r="S24" s="3"/>
      <c r="T24" s="3"/>
      <c r="U24" s="3"/>
      <c r="V24" s="3"/>
      <c r="W24" s="3"/>
      <c r="X24" s="3"/>
      <c r="Y24" s="3"/>
      <c r="Z24" s="3"/>
    </row>
    <row r="25" ht="24.75" customHeight="1">
      <c r="A25" s="28" t="s">
        <v>4</v>
      </c>
      <c r="B25" s="27" t="s">
        <v>52</v>
      </c>
      <c r="C25" s="27" t="s">
        <v>51</v>
      </c>
      <c r="D25" s="3"/>
      <c r="E25" s="29" t="s">
        <v>56</v>
      </c>
      <c r="F25" s="8" t="s">
        <v>57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4.75" customHeight="1">
      <c r="A26" s="1"/>
      <c r="B26" s="3"/>
      <c r="C26" s="3"/>
      <c r="D26" s="3"/>
      <c r="E26" s="29" t="s">
        <v>58</v>
      </c>
      <c r="F26" s="8" t="s">
        <v>59</v>
      </c>
      <c r="G26" s="3"/>
      <c r="H26" s="3"/>
      <c r="I26" s="3"/>
      <c r="J26" s="3"/>
      <c r="K26" s="3"/>
      <c r="L26" s="17" t="s">
        <v>60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4.75" customHeight="1">
      <c r="A27" s="1"/>
      <c r="B27" s="3"/>
      <c r="C27" s="3"/>
      <c r="D27" s="3"/>
      <c r="E27" s="29" t="s">
        <v>61</v>
      </c>
      <c r="F27" s="8" t="s">
        <v>62</v>
      </c>
      <c r="G27" s="3"/>
      <c r="H27" s="3"/>
      <c r="I27" s="3"/>
      <c r="J27" s="3"/>
      <c r="K27" s="3"/>
      <c r="L27" s="17" t="s">
        <v>63</v>
      </c>
      <c r="M27" s="3"/>
      <c r="N27" s="3"/>
      <c r="O27" s="3"/>
      <c r="P27" s="3"/>
      <c r="Q27" s="3"/>
      <c r="R27" s="15" t="s">
        <v>64</v>
      </c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"/>
      <c r="B32" s="3"/>
      <c r="C32" s="3" t="s">
        <v>51</v>
      </c>
      <c r="D32" s="3" t="s">
        <v>52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/>
      <c r="B33" s="3" t="s">
        <v>59</v>
      </c>
      <c r="C33" s="3">
        <f>COUNTIFS(D$3:D$17,D$3,E3:E17,E3,J3:J17,J3)</f>
        <v>2</v>
      </c>
      <c r="D33" s="3">
        <f>COUNTIFS(D3:D17,D5,E3:E17,E3,J3:J17,J3)</f>
        <v>1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"/>
      <c r="B34" s="3" t="s">
        <v>62</v>
      </c>
      <c r="C34" s="3">
        <f>COUNTIFS(D3:D17,D3,E3:E17,E4,J3:J17,J3)</f>
        <v>1</v>
      </c>
      <c r="D34" s="3">
        <f>COUNTIFS(D3:D17,D5,E3:E17,E4,J3:J17,J3)</f>
        <v>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"/>
      <c r="B35" s="3" t="s">
        <v>57</v>
      </c>
      <c r="C35" s="3">
        <f>COUNTIFS(D3:D17,D3,E3:E17,E6,J3:J17,J3)</f>
        <v>1</v>
      </c>
      <c r="D35" s="3">
        <f>COUNTIFS(D3:D17,D5,E3:E17,E6,J3:J17,J3)</f>
        <v>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"/>
      <c r="B39" s="3"/>
      <c r="C39" s="3" t="s">
        <v>51</v>
      </c>
      <c r="D39" s="3" t="s">
        <v>52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"/>
      <c r="B40" s="3" t="s">
        <v>59</v>
      </c>
      <c r="C40" s="30">
        <f>COUNTIFS(D3:D17,D3,E3:E17,E3,J3:J17,J3)/COUNTIFS(E3:E17,E3,J3:J17,J3)</f>
        <v>0.6666666667</v>
      </c>
      <c r="D40" s="30">
        <f>COUNTIFS(D3:D17,D5,E3:E17,E3,J3:J17,J3)/COUNTIFS(E3:E17,E3,J3:J17,J3)</f>
        <v>0.3333333333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"/>
      <c r="B41" s="3" t="s">
        <v>62</v>
      </c>
      <c r="C41" s="30">
        <f>COUNTIFS(D3:D17,D4,E3:E17,E4,J3:J17,J3)/COUNTIFS(E3:E17,E4,J3:J17,J3)</f>
        <v>0.5</v>
      </c>
      <c r="D41" s="30">
        <f>COUNTIFS(D3:D17,D5,E3:E17,E5,J3:J17,J3)/COUNTIFS(E3:E17,E5,J3:J17,J3)</f>
        <v>0.5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"/>
      <c r="B42" s="3" t="s">
        <v>57</v>
      </c>
      <c r="C42" s="30">
        <f>COUNTIFS(D3:D17,D3,E3:E17,E6,J3:J17,J3)/COUNTIFS(E3:E17,E6,J3:J17,J3)</f>
        <v>0.25</v>
      </c>
      <c r="D42" s="30">
        <f>COUNTIFS(E3:E17,E6,D3:D17,D5,J3:J17,J3)/COUNTIFS(E3:E17,E6,J3:J17,J3)</f>
        <v>0.75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B1:K1"/>
    <mergeCell ref="L1:R1"/>
    <mergeCell ref="H21:H22"/>
    <mergeCell ref="H23:H2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0" width="16.0"/>
    <col customWidth="1" min="11" max="11" width="8.44"/>
    <col customWidth="1" min="12" max="12" width="14.11"/>
    <col customWidth="1" min="13" max="13" width="6.78"/>
    <col customWidth="1" min="14" max="14" width="6.44"/>
    <col customWidth="1" min="15" max="15" width="16.11"/>
    <col customWidth="1" min="16" max="16" width="11.89"/>
    <col customWidth="1" min="17" max="17" width="13.67"/>
    <col customWidth="1" min="18" max="26" width="10.89"/>
  </cols>
  <sheetData>
    <row r="1" ht="45.75" customHeight="1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5"/>
      <c r="K1" s="36"/>
      <c r="R1" s="36"/>
      <c r="S1" s="37"/>
      <c r="T1" s="37"/>
      <c r="U1" s="37"/>
      <c r="V1" s="37"/>
      <c r="W1" s="37"/>
      <c r="X1" s="37"/>
      <c r="Y1" s="37"/>
      <c r="Z1" s="37"/>
    </row>
    <row r="2" ht="28.5" customHeight="1">
      <c r="A2" s="38" t="s">
        <v>1</v>
      </c>
      <c r="B2" s="39" t="s">
        <v>2</v>
      </c>
      <c r="C2" s="39" t="s">
        <v>3</v>
      </c>
      <c r="D2" s="39" t="s">
        <v>4</v>
      </c>
      <c r="E2" s="39" t="s">
        <v>5</v>
      </c>
      <c r="F2" s="39" t="s">
        <v>6</v>
      </c>
      <c r="G2" s="39" t="s">
        <v>7</v>
      </c>
      <c r="H2" s="39" t="s">
        <v>8</v>
      </c>
      <c r="I2" s="39" t="s">
        <v>9</v>
      </c>
      <c r="J2" s="39" t="s">
        <v>10</v>
      </c>
      <c r="K2" s="40"/>
      <c r="R2" s="40"/>
      <c r="S2" s="40"/>
      <c r="T2" s="40"/>
      <c r="U2" s="40"/>
      <c r="V2" s="40"/>
      <c r="W2" s="40"/>
      <c r="X2" s="40"/>
      <c r="Y2" s="40"/>
      <c r="Z2" s="40"/>
    </row>
    <row r="3" ht="28.5" customHeight="1">
      <c r="A3" s="41">
        <v>1.0</v>
      </c>
      <c r="B3" s="42" t="s">
        <v>11</v>
      </c>
      <c r="C3" s="42" t="s">
        <v>12</v>
      </c>
      <c r="D3" s="43" t="str">
        <f t="shared" ref="D3:D17" si="1">IF(VALUE(RIGHT(B3,1))=$B$21,$B$22,$C$22)</f>
        <v>男</v>
      </c>
      <c r="E3" s="43" t="str">
        <f t="shared" ref="E3:E17" si="2">IF(LEFT(B3,2)=$D$22,$E$22,IF(LEFT(B3,2)=$D$23,$E$23,$E$24))</f>
        <v>教育学科</v>
      </c>
      <c r="F3" s="44">
        <v>9.0</v>
      </c>
      <c r="G3" s="44">
        <v>8.5</v>
      </c>
      <c r="H3" s="44">
        <v>7.5</v>
      </c>
      <c r="I3" s="43">
        <f t="shared" ref="I3:I17" si="3">IF(E3=$E$24,SUM(F3:H3),(F3*2)+G3+H3)</f>
        <v>34</v>
      </c>
      <c r="J3" s="43" t="str">
        <f t="shared" ref="J3:J17" si="4">IF(I3&gt;=25,"合格","不合格")</f>
        <v>合格</v>
      </c>
      <c r="K3" s="40"/>
      <c r="R3" s="40"/>
      <c r="S3" s="40"/>
      <c r="T3" s="40"/>
      <c r="U3" s="40"/>
      <c r="V3" s="40"/>
      <c r="W3" s="40"/>
      <c r="X3" s="40"/>
      <c r="Y3" s="40"/>
      <c r="Z3" s="40"/>
    </row>
    <row r="4" ht="28.5" customHeight="1">
      <c r="A4" s="41">
        <v>2.0</v>
      </c>
      <c r="B4" s="42" t="s">
        <v>16</v>
      </c>
      <c r="C4" s="42" t="s">
        <v>17</v>
      </c>
      <c r="D4" s="43" t="str">
        <f t="shared" si="1"/>
        <v>男</v>
      </c>
      <c r="E4" s="43" t="str">
        <f t="shared" si="2"/>
        <v>経営学科</v>
      </c>
      <c r="F4" s="44">
        <v>9.0</v>
      </c>
      <c r="G4" s="44">
        <v>7.0</v>
      </c>
      <c r="H4" s="44">
        <v>6.0</v>
      </c>
      <c r="I4" s="43">
        <f t="shared" si="3"/>
        <v>22</v>
      </c>
      <c r="J4" s="43" t="str">
        <f t="shared" si="4"/>
        <v>不合格</v>
      </c>
      <c r="K4" s="40"/>
      <c r="R4" s="45"/>
      <c r="S4" s="40"/>
      <c r="T4" s="40"/>
      <c r="U4" s="40"/>
      <c r="V4" s="40"/>
      <c r="W4" s="40"/>
      <c r="X4" s="40"/>
      <c r="Y4" s="40"/>
      <c r="Z4" s="40"/>
    </row>
    <row r="5" ht="28.5" customHeight="1">
      <c r="A5" s="41">
        <v>3.0</v>
      </c>
      <c r="B5" s="42" t="s">
        <v>39</v>
      </c>
      <c r="C5" s="42" t="s">
        <v>66</v>
      </c>
      <c r="D5" s="43" t="str">
        <f t="shared" si="1"/>
        <v>女</v>
      </c>
      <c r="E5" s="43" t="str">
        <f t="shared" si="2"/>
        <v>経営学科</v>
      </c>
      <c r="F5" s="44">
        <v>5.0</v>
      </c>
      <c r="G5" s="44">
        <v>7.0</v>
      </c>
      <c r="H5" s="44">
        <v>6.0</v>
      </c>
      <c r="I5" s="43">
        <f t="shared" si="3"/>
        <v>18</v>
      </c>
      <c r="J5" s="43" t="str">
        <f t="shared" si="4"/>
        <v>不合格</v>
      </c>
      <c r="K5" s="40"/>
      <c r="S5" s="40"/>
      <c r="T5" s="40"/>
      <c r="U5" s="40"/>
      <c r="V5" s="40"/>
      <c r="W5" s="40"/>
      <c r="X5" s="40"/>
      <c r="Y5" s="40"/>
      <c r="Z5" s="40"/>
    </row>
    <row r="6" ht="28.5" customHeight="1">
      <c r="A6" s="41">
        <v>4.0</v>
      </c>
      <c r="B6" s="42" t="s">
        <v>20</v>
      </c>
      <c r="C6" s="42" t="s">
        <v>21</v>
      </c>
      <c r="D6" s="43" t="str">
        <f t="shared" si="1"/>
        <v>男</v>
      </c>
      <c r="E6" s="43" t="str">
        <f t="shared" si="2"/>
        <v>日本語学科</v>
      </c>
      <c r="F6" s="44">
        <v>8.0</v>
      </c>
      <c r="G6" s="44">
        <v>5.0</v>
      </c>
      <c r="H6" s="44">
        <v>7.0</v>
      </c>
      <c r="I6" s="43">
        <f t="shared" si="3"/>
        <v>28</v>
      </c>
      <c r="J6" s="43" t="str">
        <f t="shared" si="4"/>
        <v>合格</v>
      </c>
      <c r="K6" s="40"/>
      <c r="S6" s="40"/>
      <c r="T6" s="40"/>
      <c r="U6" s="40"/>
      <c r="V6" s="40"/>
      <c r="W6" s="40"/>
      <c r="X6" s="40"/>
      <c r="Y6" s="40"/>
      <c r="Z6" s="40"/>
    </row>
    <row r="7" ht="28.5" customHeight="1">
      <c r="A7" s="41">
        <v>5.0</v>
      </c>
      <c r="B7" s="42" t="s">
        <v>16</v>
      </c>
      <c r="C7" s="42" t="s">
        <v>68</v>
      </c>
      <c r="D7" s="43" t="str">
        <f t="shared" si="1"/>
        <v>男</v>
      </c>
      <c r="E7" s="43" t="str">
        <f t="shared" si="2"/>
        <v>経営学科</v>
      </c>
      <c r="F7" s="44">
        <v>9.0</v>
      </c>
      <c r="G7" s="44">
        <v>6.5</v>
      </c>
      <c r="H7" s="44">
        <v>0.0</v>
      </c>
      <c r="I7" s="43">
        <f t="shared" si="3"/>
        <v>15.5</v>
      </c>
      <c r="J7" s="43" t="str">
        <f t="shared" si="4"/>
        <v>不合格</v>
      </c>
      <c r="K7" s="40"/>
      <c r="S7" s="40"/>
      <c r="T7" s="40"/>
      <c r="U7" s="40"/>
      <c r="V7" s="40"/>
      <c r="W7" s="40"/>
      <c r="X7" s="40"/>
      <c r="Y7" s="40"/>
      <c r="Z7" s="40"/>
    </row>
    <row r="8" ht="28.5" customHeight="1">
      <c r="A8" s="41">
        <v>6.0</v>
      </c>
      <c r="B8" s="42" t="s">
        <v>23</v>
      </c>
      <c r="C8" s="42" t="s">
        <v>24</v>
      </c>
      <c r="D8" s="43" t="str">
        <f t="shared" si="1"/>
        <v>女</v>
      </c>
      <c r="E8" s="43" t="str">
        <f t="shared" si="2"/>
        <v>教育学科</v>
      </c>
      <c r="F8" s="44">
        <v>9.0</v>
      </c>
      <c r="G8" s="44">
        <v>10.0</v>
      </c>
      <c r="H8" s="44">
        <v>8.5</v>
      </c>
      <c r="I8" s="43">
        <f t="shared" si="3"/>
        <v>36.5</v>
      </c>
      <c r="J8" s="43" t="str">
        <f t="shared" si="4"/>
        <v>合格</v>
      </c>
      <c r="K8" s="40"/>
      <c r="L8" s="45"/>
      <c r="S8" s="40"/>
      <c r="T8" s="40"/>
      <c r="U8" s="40"/>
      <c r="V8" s="40"/>
      <c r="W8" s="40"/>
      <c r="X8" s="40"/>
      <c r="Y8" s="40"/>
      <c r="Z8" s="40"/>
    </row>
    <row r="9" ht="28.5" customHeight="1">
      <c r="A9" s="41">
        <v>7.0</v>
      </c>
      <c r="B9" s="42" t="s">
        <v>26</v>
      </c>
      <c r="C9" s="42" t="s">
        <v>27</v>
      </c>
      <c r="D9" s="43" t="str">
        <f t="shared" si="1"/>
        <v>女</v>
      </c>
      <c r="E9" s="43" t="str">
        <f t="shared" si="2"/>
        <v>日本語学科</v>
      </c>
      <c r="F9" s="44">
        <v>10.0</v>
      </c>
      <c r="G9" s="44">
        <v>7.0</v>
      </c>
      <c r="H9" s="44">
        <v>5.0</v>
      </c>
      <c r="I9" s="43">
        <f t="shared" si="3"/>
        <v>32</v>
      </c>
      <c r="J9" s="43" t="str">
        <f t="shared" si="4"/>
        <v>合格</v>
      </c>
      <c r="K9" s="40"/>
      <c r="L9" s="45"/>
      <c r="S9" s="40"/>
      <c r="T9" s="40"/>
      <c r="U9" s="40"/>
      <c r="V9" s="40"/>
      <c r="W9" s="40"/>
      <c r="X9" s="40"/>
      <c r="Y9" s="40"/>
      <c r="Z9" s="40"/>
    </row>
    <row r="10" ht="28.5" customHeight="1">
      <c r="A10" s="41">
        <v>8.0</v>
      </c>
      <c r="B10" s="42" t="s">
        <v>11</v>
      </c>
      <c r="C10" s="42" t="s">
        <v>69</v>
      </c>
      <c r="D10" s="43" t="str">
        <f t="shared" si="1"/>
        <v>男</v>
      </c>
      <c r="E10" s="43" t="str">
        <f t="shared" si="2"/>
        <v>教育学科</v>
      </c>
      <c r="F10" s="44">
        <v>4.0</v>
      </c>
      <c r="G10" s="44">
        <v>5.0</v>
      </c>
      <c r="H10" s="44">
        <v>5.0</v>
      </c>
      <c r="I10" s="43">
        <f t="shared" si="3"/>
        <v>18</v>
      </c>
      <c r="J10" s="43" t="str">
        <f t="shared" si="4"/>
        <v>不合格</v>
      </c>
      <c r="K10" s="40"/>
      <c r="L10" s="45"/>
      <c r="M10" s="40"/>
      <c r="N10" s="40"/>
      <c r="O10" s="40"/>
      <c r="P10" s="40"/>
      <c r="Q10" s="40"/>
      <c r="R10" s="46"/>
      <c r="S10" s="40"/>
      <c r="T10" s="40"/>
      <c r="U10" s="40"/>
      <c r="V10" s="40"/>
      <c r="W10" s="40"/>
      <c r="X10" s="40"/>
      <c r="Y10" s="40"/>
      <c r="Z10" s="40"/>
    </row>
    <row r="11" ht="28.5" customHeight="1">
      <c r="A11" s="41">
        <v>9.0</v>
      </c>
      <c r="B11" s="42" t="s">
        <v>26</v>
      </c>
      <c r="C11" s="42" t="s">
        <v>30</v>
      </c>
      <c r="D11" s="43" t="str">
        <f t="shared" si="1"/>
        <v>女</v>
      </c>
      <c r="E11" s="43" t="str">
        <f t="shared" si="2"/>
        <v>日本語学科</v>
      </c>
      <c r="F11" s="44">
        <v>7.0</v>
      </c>
      <c r="G11" s="44">
        <v>6.0</v>
      </c>
      <c r="H11" s="44">
        <v>8.0</v>
      </c>
      <c r="I11" s="43">
        <f t="shared" si="3"/>
        <v>28</v>
      </c>
      <c r="J11" s="43" t="str">
        <f t="shared" si="4"/>
        <v>合格</v>
      </c>
      <c r="K11" s="40"/>
      <c r="L11" s="47"/>
      <c r="M11" s="40"/>
      <c r="N11" s="40"/>
      <c r="O11" s="48"/>
      <c r="P11" s="40"/>
      <c r="Q11" s="40"/>
      <c r="R11" s="46"/>
      <c r="S11" s="40"/>
      <c r="T11" s="40"/>
      <c r="U11" s="40"/>
      <c r="V11" s="40"/>
      <c r="W11" s="40"/>
      <c r="X11" s="40"/>
      <c r="Y11" s="40"/>
      <c r="Z11" s="40"/>
    </row>
    <row r="12" ht="28.5" customHeight="1">
      <c r="A12" s="41">
        <v>10.0</v>
      </c>
      <c r="B12" s="42" t="s">
        <v>16</v>
      </c>
      <c r="C12" s="42" t="s">
        <v>34</v>
      </c>
      <c r="D12" s="43" t="str">
        <f t="shared" si="1"/>
        <v>男</v>
      </c>
      <c r="E12" s="43" t="str">
        <f t="shared" si="2"/>
        <v>経営学科</v>
      </c>
      <c r="F12" s="44">
        <v>9.0</v>
      </c>
      <c r="G12" s="44">
        <v>8.5</v>
      </c>
      <c r="H12" s="44">
        <v>8.5</v>
      </c>
      <c r="I12" s="43">
        <f t="shared" si="3"/>
        <v>26</v>
      </c>
      <c r="J12" s="43" t="str">
        <f t="shared" si="4"/>
        <v>合格</v>
      </c>
      <c r="K12" s="40"/>
      <c r="L12" s="40"/>
      <c r="M12" s="40"/>
      <c r="N12" s="40"/>
      <c r="O12" s="48"/>
      <c r="P12" s="40"/>
      <c r="Q12" s="40"/>
      <c r="R12" s="46"/>
      <c r="S12" s="40"/>
      <c r="T12" s="40"/>
      <c r="U12" s="40"/>
      <c r="V12" s="40"/>
      <c r="W12" s="40"/>
      <c r="X12" s="40"/>
      <c r="Y12" s="40"/>
      <c r="Z12" s="40"/>
    </row>
    <row r="13" ht="28.5" customHeight="1">
      <c r="A13" s="41">
        <v>11.0</v>
      </c>
      <c r="B13" s="42" t="s">
        <v>26</v>
      </c>
      <c r="C13" s="42" t="s">
        <v>37</v>
      </c>
      <c r="D13" s="43" t="str">
        <f t="shared" si="1"/>
        <v>女</v>
      </c>
      <c r="E13" s="43" t="str">
        <f t="shared" si="2"/>
        <v>日本語学科</v>
      </c>
      <c r="F13" s="44">
        <v>7.0</v>
      </c>
      <c r="G13" s="44">
        <v>7.0</v>
      </c>
      <c r="H13" s="44">
        <v>7.0</v>
      </c>
      <c r="I13" s="43">
        <f t="shared" si="3"/>
        <v>28</v>
      </c>
      <c r="J13" s="43" t="str">
        <f t="shared" si="4"/>
        <v>合格</v>
      </c>
      <c r="K13" s="40"/>
      <c r="L13" s="45"/>
      <c r="M13" s="40"/>
      <c r="N13" s="40"/>
      <c r="O13" s="40"/>
      <c r="P13" s="40"/>
      <c r="Q13" s="40"/>
      <c r="R13" s="46"/>
      <c r="S13" s="40"/>
      <c r="T13" s="40"/>
      <c r="U13" s="40"/>
      <c r="V13" s="40"/>
      <c r="W13" s="40"/>
      <c r="X13" s="40"/>
      <c r="Y13" s="40"/>
      <c r="Z13" s="40"/>
    </row>
    <row r="14" ht="28.5" customHeight="1">
      <c r="A14" s="41">
        <v>12.0</v>
      </c>
      <c r="B14" s="42" t="s">
        <v>11</v>
      </c>
      <c r="C14" s="42" t="s">
        <v>70</v>
      </c>
      <c r="D14" s="43" t="str">
        <f t="shared" si="1"/>
        <v>男</v>
      </c>
      <c r="E14" s="43" t="str">
        <f t="shared" si="2"/>
        <v>教育学科</v>
      </c>
      <c r="F14" s="44">
        <v>4.0</v>
      </c>
      <c r="G14" s="44">
        <v>6.0</v>
      </c>
      <c r="H14" s="44">
        <v>7.0</v>
      </c>
      <c r="I14" s="43">
        <f t="shared" si="3"/>
        <v>21</v>
      </c>
      <c r="J14" s="43" t="str">
        <f t="shared" si="4"/>
        <v>不合格</v>
      </c>
      <c r="K14" s="40"/>
      <c r="L14" s="45"/>
      <c r="M14" s="40"/>
      <c r="N14" s="40"/>
      <c r="O14" s="40"/>
      <c r="P14" s="40"/>
      <c r="Q14" s="40"/>
      <c r="R14" s="46"/>
      <c r="S14" s="40"/>
      <c r="T14" s="40"/>
      <c r="U14" s="40"/>
      <c r="V14" s="40"/>
      <c r="W14" s="40"/>
      <c r="X14" s="40"/>
      <c r="Y14" s="40"/>
      <c r="Z14" s="40"/>
    </row>
    <row r="15" ht="28.5" customHeight="1">
      <c r="A15" s="41">
        <v>13.0</v>
      </c>
      <c r="B15" s="42" t="s">
        <v>39</v>
      </c>
      <c r="C15" s="42" t="s">
        <v>40</v>
      </c>
      <c r="D15" s="43" t="str">
        <f t="shared" si="1"/>
        <v>女</v>
      </c>
      <c r="E15" s="43" t="str">
        <f t="shared" si="2"/>
        <v>経営学科</v>
      </c>
      <c r="F15" s="44">
        <v>9.5</v>
      </c>
      <c r="G15" s="44">
        <v>9.0</v>
      </c>
      <c r="H15" s="44">
        <v>7.0</v>
      </c>
      <c r="I15" s="43">
        <f t="shared" si="3"/>
        <v>25.5</v>
      </c>
      <c r="J15" s="43" t="str">
        <f t="shared" si="4"/>
        <v>合格</v>
      </c>
      <c r="K15" s="40"/>
      <c r="L15" s="45"/>
      <c r="M15" s="40"/>
      <c r="N15" s="40"/>
      <c r="O15" s="40"/>
      <c r="P15" s="40"/>
      <c r="Q15" s="40"/>
      <c r="R15" s="46"/>
      <c r="S15" s="40"/>
      <c r="T15" s="40"/>
      <c r="U15" s="40"/>
      <c r="V15" s="40"/>
      <c r="W15" s="40"/>
      <c r="X15" s="40"/>
      <c r="Y15" s="40"/>
      <c r="Z15" s="40"/>
    </row>
    <row r="16" ht="28.5" customHeight="1">
      <c r="A16" s="41">
        <v>14.0</v>
      </c>
      <c r="B16" s="42" t="s">
        <v>26</v>
      </c>
      <c r="C16" s="42" t="s">
        <v>71</v>
      </c>
      <c r="D16" s="43" t="str">
        <f t="shared" si="1"/>
        <v>女</v>
      </c>
      <c r="E16" s="43" t="str">
        <f t="shared" si="2"/>
        <v>日本語学科</v>
      </c>
      <c r="F16" s="44">
        <v>4.5</v>
      </c>
      <c r="G16" s="44">
        <v>5.0</v>
      </c>
      <c r="H16" s="44">
        <v>6.0</v>
      </c>
      <c r="I16" s="43">
        <f t="shared" si="3"/>
        <v>20</v>
      </c>
      <c r="J16" s="43" t="str">
        <f t="shared" si="4"/>
        <v>不合格</v>
      </c>
      <c r="K16" s="40"/>
      <c r="L16" s="45"/>
      <c r="M16" s="40"/>
      <c r="N16" s="40"/>
      <c r="O16" s="40"/>
      <c r="P16" s="40"/>
      <c r="Q16" s="40"/>
      <c r="R16" s="46"/>
      <c r="S16" s="40"/>
      <c r="T16" s="40"/>
      <c r="U16" s="40"/>
      <c r="V16" s="40"/>
      <c r="W16" s="40"/>
      <c r="X16" s="40"/>
      <c r="Y16" s="40"/>
      <c r="Z16" s="40"/>
    </row>
    <row r="17" ht="28.5" customHeight="1">
      <c r="A17" s="41">
        <v>15.0</v>
      </c>
      <c r="B17" s="42" t="s">
        <v>11</v>
      </c>
      <c r="C17" s="42" t="s">
        <v>43</v>
      </c>
      <c r="D17" s="43" t="str">
        <f t="shared" si="1"/>
        <v>男</v>
      </c>
      <c r="E17" s="43" t="str">
        <f t="shared" si="2"/>
        <v>教育学科</v>
      </c>
      <c r="F17" s="44">
        <v>5.0</v>
      </c>
      <c r="G17" s="44">
        <v>7.0</v>
      </c>
      <c r="H17" s="44">
        <v>8.5</v>
      </c>
      <c r="I17" s="43">
        <f t="shared" si="3"/>
        <v>25.5</v>
      </c>
      <c r="J17" s="43" t="str">
        <f t="shared" si="4"/>
        <v>合格</v>
      </c>
      <c r="K17" s="40"/>
      <c r="L17" s="45"/>
      <c r="M17" s="40"/>
      <c r="N17" s="40"/>
      <c r="O17" s="40"/>
      <c r="P17" s="40"/>
      <c r="Q17" s="40"/>
      <c r="R17" s="46"/>
      <c r="S17" s="40"/>
      <c r="T17" s="40"/>
      <c r="U17" s="40"/>
      <c r="V17" s="40"/>
      <c r="W17" s="40"/>
      <c r="X17" s="40"/>
      <c r="Y17" s="40"/>
      <c r="Z17" s="40"/>
    </row>
    <row r="18" ht="28.5" customHeight="1">
      <c r="A18" s="49"/>
      <c r="B18" s="37"/>
      <c r="C18" s="37"/>
      <c r="D18" s="37"/>
      <c r="E18" s="50" t="s">
        <v>41</v>
      </c>
      <c r="F18" s="51">
        <f t="shared" ref="F18:I18" si="5">AVERAGE(F3:F17)</f>
        <v>7.266666667</v>
      </c>
      <c r="G18" s="51">
        <f t="shared" si="5"/>
        <v>6.966666667</v>
      </c>
      <c r="H18" s="51">
        <f t="shared" si="5"/>
        <v>6.466666667</v>
      </c>
      <c r="I18" s="52">
        <f t="shared" si="5"/>
        <v>25.2</v>
      </c>
      <c r="J18" s="37"/>
      <c r="K18" s="37"/>
      <c r="L18" s="53"/>
      <c r="M18" s="37"/>
      <c r="N18" s="37"/>
      <c r="O18" s="37"/>
      <c r="P18" s="37"/>
      <c r="Q18" s="37"/>
      <c r="R18" s="54"/>
      <c r="S18" s="37"/>
      <c r="T18" s="37"/>
      <c r="U18" s="37"/>
      <c r="V18" s="37"/>
      <c r="W18" s="37"/>
      <c r="X18" s="37"/>
      <c r="Y18" s="37"/>
      <c r="Z18" s="37"/>
    </row>
    <row r="19" ht="28.5" customHeight="1">
      <c r="D19" s="37"/>
      <c r="E19" s="55" t="s">
        <v>47</v>
      </c>
      <c r="F19" s="56">
        <f t="shared" ref="F19:I19" si="6">MAX(F3:F17)</f>
        <v>10</v>
      </c>
      <c r="G19" s="56">
        <f t="shared" si="6"/>
        <v>10</v>
      </c>
      <c r="H19" s="52">
        <f t="shared" si="6"/>
        <v>8.5</v>
      </c>
      <c r="I19" s="52">
        <f t="shared" si="6"/>
        <v>36.5</v>
      </c>
      <c r="J19" s="37"/>
      <c r="K19" s="37"/>
      <c r="L19" s="37"/>
      <c r="M19" s="37"/>
      <c r="N19" s="37"/>
      <c r="O19" s="37"/>
      <c r="P19" s="37"/>
      <c r="Q19" s="37"/>
      <c r="R19" s="54"/>
      <c r="S19" s="37"/>
      <c r="T19" s="37"/>
      <c r="U19" s="37"/>
      <c r="V19" s="37"/>
      <c r="W19" s="37"/>
      <c r="X19" s="37"/>
      <c r="Y19" s="37"/>
      <c r="Z19" s="37"/>
    </row>
    <row r="20" ht="28.5" customHeight="1">
      <c r="D20" s="37"/>
      <c r="E20" s="55" t="s">
        <v>49</v>
      </c>
      <c r="F20" s="57">
        <f t="shared" ref="F20:I20" si="7">MIN(F3:F17)</f>
        <v>4</v>
      </c>
      <c r="G20" s="57">
        <f t="shared" si="7"/>
        <v>5</v>
      </c>
      <c r="H20" s="56">
        <f t="shared" si="7"/>
        <v>0</v>
      </c>
      <c r="I20" s="52">
        <f t="shared" si="7"/>
        <v>15.5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54.75" customHeight="1">
      <c r="A21" s="58"/>
      <c r="B21" s="59">
        <v>1.0</v>
      </c>
      <c r="C21" s="59">
        <v>2.0</v>
      </c>
      <c r="D21" s="58"/>
      <c r="E21" s="59" t="s">
        <v>5</v>
      </c>
      <c r="F21" s="37"/>
      <c r="G21" s="37"/>
      <c r="H21" s="60" t="s">
        <v>46</v>
      </c>
      <c r="I21" s="61" t="s">
        <v>51</v>
      </c>
      <c r="J21" s="62">
        <f>COUNTIFS(D3:D17,"男",J3:J17,"合格")</f>
        <v>4</v>
      </c>
      <c r="K21" s="37"/>
      <c r="R21" s="37"/>
      <c r="S21" s="37"/>
      <c r="T21" s="37"/>
      <c r="U21" s="37"/>
      <c r="V21" s="37"/>
      <c r="W21" s="37"/>
      <c r="X21" s="37"/>
      <c r="Y21" s="37"/>
      <c r="Z21" s="37"/>
    </row>
    <row r="22" ht="28.5" customHeight="1">
      <c r="A22" s="59" t="s">
        <v>4</v>
      </c>
      <c r="B22" s="58" t="s">
        <v>52</v>
      </c>
      <c r="C22" s="58" t="s">
        <v>51</v>
      </c>
      <c r="D22" s="63" t="s">
        <v>56</v>
      </c>
      <c r="E22" s="64" t="s">
        <v>57</v>
      </c>
      <c r="F22" s="37"/>
      <c r="G22" s="37"/>
      <c r="H22" s="23"/>
      <c r="I22" s="61" t="s">
        <v>52</v>
      </c>
      <c r="J22" s="62">
        <f>COUNTIFS(D3:D17,"女",J3:J17,"合格")</f>
        <v>5</v>
      </c>
      <c r="K22" s="37"/>
      <c r="R22" s="37"/>
      <c r="S22" s="37"/>
      <c r="T22" s="37"/>
      <c r="U22" s="37"/>
      <c r="V22" s="37"/>
      <c r="W22" s="37"/>
      <c r="X22" s="37"/>
      <c r="Y22" s="37"/>
      <c r="Z22" s="37"/>
    </row>
    <row r="23" ht="32.25" customHeight="1">
      <c r="C23" s="37"/>
      <c r="D23" s="63" t="s">
        <v>58</v>
      </c>
      <c r="E23" s="64" t="s">
        <v>59</v>
      </c>
      <c r="F23" s="65"/>
      <c r="G23" s="65"/>
      <c r="H23" s="60" t="s">
        <v>48</v>
      </c>
      <c r="I23" s="66" t="s">
        <v>51</v>
      </c>
      <c r="J23" s="67">
        <f>J21/COUNTIFS(D3:D17,"男")</f>
        <v>0.5</v>
      </c>
      <c r="K23" s="37"/>
      <c r="R23" s="54"/>
      <c r="S23" s="37"/>
      <c r="T23" s="37"/>
      <c r="U23" s="37"/>
      <c r="V23" s="37"/>
      <c r="W23" s="37"/>
      <c r="X23" s="37"/>
      <c r="Y23" s="37"/>
      <c r="Z23" s="37"/>
    </row>
    <row r="24" ht="28.5" customHeight="1">
      <c r="D24" s="63" t="s">
        <v>61</v>
      </c>
      <c r="E24" s="64" t="s">
        <v>62</v>
      </c>
      <c r="G24" s="65"/>
      <c r="H24" s="23"/>
      <c r="I24" s="61" t="s">
        <v>52</v>
      </c>
      <c r="J24" s="67">
        <f>J22/COUNTIFS(D3:D17,"女")</f>
        <v>0.7142857143</v>
      </c>
      <c r="K24" s="37"/>
      <c r="R24" s="54"/>
      <c r="S24" s="37"/>
      <c r="T24" s="37"/>
      <c r="U24" s="37"/>
      <c r="V24" s="37"/>
      <c r="W24" s="37"/>
      <c r="X24" s="37"/>
      <c r="Y24" s="37"/>
      <c r="Z24" s="37"/>
    </row>
    <row r="25" ht="28.5" customHeight="1">
      <c r="A25" s="37"/>
      <c r="B25" s="37"/>
      <c r="D25" s="37"/>
      <c r="G25" s="37"/>
      <c r="H25" s="68"/>
      <c r="I25" s="69"/>
      <c r="J25" s="69"/>
      <c r="K25" s="37"/>
      <c r="R25" s="37"/>
      <c r="S25" s="37"/>
      <c r="T25" s="37"/>
      <c r="U25" s="37"/>
      <c r="V25" s="37"/>
      <c r="W25" s="37"/>
      <c r="X25" s="37"/>
      <c r="Y25" s="37"/>
      <c r="Z25" s="37"/>
    </row>
    <row r="26" ht="28.5" customHeight="1">
      <c r="A26" s="70" t="s">
        <v>72</v>
      </c>
      <c r="B26" s="34"/>
      <c r="C26" s="34"/>
      <c r="D26" s="34"/>
      <c r="E26" s="34"/>
      <c r="F26" s="35"/>
      <c r="G26" s="37"/>
      <c r="H26" s="37"/>
      <c r="I26" s="37"/>
      <c r="J26" s="37"/>
      <c r="K26" s="37"/>
      <c r="L26" s="65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28.5" customHeight="1">
      <c r="A27" s="71"/>
      <c r="B27" s="72" t="s">
        <v>73</v>
      </c>
      <c r="C27" s="72" t="s">
        <v>74</v>
      </c>
      <c r="D27" s="73" t="s">
        <v>75</v>
      </c>
      <c r="E27" s="73" t="s">
        <v>76</v>
      </c>
      <c r="F27" s="73" t="s">
        <v>77</v>
      </c>
      <c r="G27" s="37"/>
      <c r="H27" s="37"/>
      <c r="I27" s="37"/>
      <c r="J27" s="37"/>
      <c r="K27" s="37"/>
      <c r="L27" s="65"/>
      <c r="M27" s="37"/>
      <c r="N27" s="37"/>
      <c r="O27" s="37"/>
      <c r="P27" s="37"/>
      <c r="Q27" s="37"/>
      <c r="R27" s="54"/>
      <c r="S27" s="37"/>
      <c r="T27" s="37"/>
      <c r="U27" s="37"/>
      <c r="V27" s="37"/>
      <c r="W27" s="37"/>
      <c r="X27" s="37"/>
      <c r="Y27" s="37"/>
      <c r="Z27" s="37"/>
    </row>
    <row r="28" ht="18.75" customHeight="1">
      <c r="A28" s="71" t="s">
        <v>57</v>
      </c>
      <c r="B28" s="64">
        <f>COUNTIFS($E$3:$E$17,"日本語学科",$J$3:$J$17,"合格",$D$3:$D$17,"男")</f>
        <v>1</v>
      </c>
      <c r="C28" s="64">
        <f>COUNTIFS($E$3:$E$17,"日本語学科",$J$3:$J$17,"合格",$D$3:$D$17,"女")</f>
        <v>3</v>
      </c>
      <c r="D28" s="64">
        <f>COUNTIFS($E$3:$E$17,"日本語学科",$J$3:$J$17,"合格")</f>
        <v>4</v>
      </c>
      <c r="E28" s="74">
        <f t="shared" ref="E28:F28" si="8">B28/$D$28</f>
        <v>0.25</v>
      </c>
      <c r="F28" s="74">
        <f t="shared" si="8"/>
        <v>0.75</v>
      </c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8.75" customHeight="1">
      <c r="A29" s="71" t="s">
        <v>59</v>
      </c>
      <c r="B29" s="64">
        <f>COUNTIFS($E$3:$E$17,"教育学科",$J$3:$J$17,"合格",$D$3:$D$17,"男")</f>
        <v>2</v>
      </c>
      <c r="C29" s="64">
        <f>COUNTIFS($E$3:$E$17,"教育学科",$J$3:$J$17,"合格",$D$3:$D$17,"女")</f>
        <v>1</v>
      </c>
      <c r="D29" s="64">
        <f>COUNTIFS($E$3:$E$17,"教育学科",$J$3:$J$17,"合格")</f>
        <v>3</v>
      </c>
      <c r="E29" s="74">
        <f t="shared" ref="E29:F29" si="9">B29/$D$29</f>
        <v>0.6666666667</v>
      </c>
      <c r="F29" s="74">
        <f t="shared" si="9"/>
        <v>0.3333333333</v>
      </c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8.75" customHeight="1">
      <c r="A30" s="71" t="s">
        <v>62</v>
      </c>
      <c r="B30" s="64">
        <f>COUNTIFS($E$3:$E$17,"経営学科",$J$3:$J$17,"合格",$D$3:$D$17,"男")</f>
        <v>1</v>
      </c>
      <c r="C30" s="64">
        <f>COUNTIFS($E$3:$E$17,"経営学科",$J$3:$J$17,"合格",$D$3:$D$17,"女")</f>
        <v>1</v>
      </c>
      <c r="D30" s="64">
        <f>COUNTIFS($E$3:$E$17,"経営学科",$J$3:$J$17,"合格")</f>
        <v>2</v>
      </c>
      <c r="E30" s="74">
        <f t="shared" ref="E30:F30" si="10">B30/$D$30</f>
        <v>0.5</v>
      </c>
      <c r="F30" s="74">
        <f t="shared" si="10"/>
        <v>0.5</v>
      </c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8.75" customHeight="1">
      <c r="A31" s="49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8.75" customHeight="1">
      <c r="A32" s="49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8.75" customHeight="1">
      <c r="A33" s="49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8.75" customHeight="1">
      <c r="A34" s="49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8.75" customHeight="1">
      <c r="A35" s="49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8.75" customHeight="1">
      <c r="A36" s="49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8.75" customHeight="1">
      <c r="A37" s="49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8.75" customHeight="1">
      <c r="A38" s="49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8.75" customHeight="1">
      <c r="A39" s="49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8.75" customHeight="1">
      <c r="A40" s="49"/>
      <c r="B40" s="37"/>
      <c r="C40" s="75"/>
      <c r="D40" s="75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8.75" customHeight="1">
      <c r="A41" s="49"/>
      <c r="B41" s="37"/>
      <c r="C41" s="75"/>
      <c r="D41" s="75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8.75" customHeight="1">
      <c r="A42" s="49"/>
      <c r="B42" s="37"/>
      <c r="C42" s="75"/>
      <c r="D42" s="75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8.75" customHeight="1">
      <c r="A43" s="49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8.75" customHeight="1">
      <c r="A44" s="49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8.75" customHeight="1">
      <c r="A45" s="49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8.75" customHeight="1">
      <c r="A46" s="49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8.75" customHeight="1">
      <c r="A47" s="49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8.75" customHeight="1">
      <c r="A48" s="49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8.75" customHeight="1">
      <c r="A49" s="49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8.75" customHeight="1">
      <c r="A50" s="49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8.75" customHeight="1">
      <c r="A51" s="49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8.75" customHeight="1">
      <c r="A52" s="49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8.75" customHeight="1">
      <c r="A53" s="49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8.75" customHeight="1">
      <c r="A54" s="49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8.75" customHeight="1">
      <c r="A55" s="49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8.75" customHeight="1">
      <c r="A56" s="49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8.75" customHeight="1">
      <c r="A57" s="49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8.75" customHeight="1">
      <c r="A58" s="49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8.75" customHeight="1">
      <c r="A59" s="49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8.75" customHeight="1">
      <c r="A60" s="49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8.75" customHeight="1">
      <c r="A61" s="49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8.75" customHeight="1">
      <c r="A62" s="49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8.75" customHeight="1">
      <c r="A63" s="49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8.75" customHeight="1">
      <c r="A64" s="49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8.75" customHeight="1">
      <c r="A65" s="49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8.75" customHeight="1">
      <c r="A66" s="49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8.75" customHeight="1">
      <c r="A67" s="49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8.75" customHeight="1">
      <c r="A68" s="49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8.75" customHeight="1">
      <c r="A69" s="49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8.75" customHeight="1">
      <c r="A70" s="49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8.75" customHeight="1">
      <c r="A71" s="49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8.75" customHeight="1">
      <c r="A72" s="49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8.75" customHeight="1">
      <c r="A73" s="49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8.75" customHeight="1">
      <c r="A74" s="49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8.75" customHeight="1">
      <c r="A75" s="49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8.75" customHeight="1">
      <c r="A76" s="49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8.75" customHeight="1">
      <c r="A77" s="49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8.75" customHeight="1">
      <c r="A78" s="49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8.75" customHeight="1">
      <c r="A79" s="49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8.75" customHeight="1">
      <c r="A80" s="49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8.75" customHeight="1">
      <c r="A81" s="49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8.75" customHeight="1">
      <c r="A82" s="49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8.75" customHeight="1">
      <c r="A83" s="49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8.75" customHeight="1">
      <c r="A84" s="49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8.75" customHeight="1">
      <c r="A85" s="49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8.75" customHeight="1">
      <c r="A86" s="49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8.75" customHeight="1">
      <c r="A87" s="49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8.75" customHeight="1">
      <c r="A88" s="49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8.75" customHeight="1">
      <c r="A89" s="49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8.75" customHeight="1">
      <c r="A90" s="49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8.75" customHeight="1">
      <c r="A91" s="49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8.75" customHeight="1">
      <c r="A92" s="49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8.75" customHeight="1">
      <c r="A93" s="49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8.75" customHeight="1">
      <c r="A94" s="49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8.75" customHeight="1">
      <c r="A95" s="49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8.75" customHeight="1">
      <c r="A96" s="49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8.75" customHeight="1">
      <c r="A97" s="49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8.75" customHeight="1">
      <c r="A98" s="49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8.75" customHeight="1">
      <c r="A99" s="49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8.75" customHeight="1">
      <c r="A100" s="49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8.75" customHeight="1">
      <c r="A101" s="49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8.75" customHeight="1">
      <c r="A102" s="49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8.75" customHeight="1">
      <c r="A103" s="49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8.75" customHeight="1">
      <c r="A104" s="49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8.75" customHeight="1">
      <c r="A105" s="49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8.75" customHeight="1">
      <c r="A106" s="49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8.75" customHeight="1">
      <c r="A107" s="49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8.75" customHeight="1">
      <c r="A108" s="49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8.75" customHeight="1">
      <c r="A109" s="49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8.75" customHeight="1">
      <c r="A110" s="49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8.75" customHeight="1">
      <c r="A111" s="49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8.75" customHeight="1">
      <c r="A112" s="49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8.75" customHeight="1">
      <c r="A113" s="49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8.75" customHeight="1">
      <c r="A114" s="49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8.75" customHeight="1">
      <c r="A115" s="49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8.75" customHeight="1">
      <c r="A116" s="49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8.75" customHeight="1">
      <c r="A117" s="49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8.75" customHeight="1">
      <c r="A118" s="49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8.75" customHeight="1">
      <c r="A119" s="49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8.75" customHeight="1">
      <c r="A120" s="49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8.75" customHeight="1">
      <c r="A121" s="49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8.75" customHeight="1">
      <c r="A122" s="49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8.75" customHeight="1">
      <c r="A123" s="49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8.75" customHeight="1">
      <c r="A124" s="49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8.75" customHeight="1">
      <c r="A125" s="49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8.75" customHeight="1">
      <c r="A126" s="49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8.75" customHeight="1">
      <c r="A127" s="49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8.75" customHeight="1">
      <c r="A128" s="49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8.75" customHeight="1">
      <c r="A129" s="49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8.75" customHeight="1">
      <c r="A130" s="49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8.75" customHeight="1">
      <c r="A131" s="49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8.75" customHeight="1">
      <c r="A132" s="49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8.75" customHeight="1">
      <c r="A133" s="49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8.75" customHeight="1">
      <c r="A134" s="49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8.75" customHeight="1">
      <c r="A135" s="49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8.75" customHeight="1">
      <c r="A136" s="49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8.75" customHeight="1">
      <c r="A137" s="49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8.75" customHeight="1">
      <c r="A138" s="49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8.75" customHeight="1">
      <c r="A139" s="49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8.75" customHeight="1">
      <c r="A140" s="49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8.75" customHeight="1">
      <c r="A141" s="49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8.75" customHeight="1">
      <c r="A142" s="49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8.75" customHeight="1">
      <c r="A143" s="49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8.75" customHeight="1">
      <c r="A144" s="49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8.75" customHeight="1">
      <c r="A145" s="49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8.75" customHeight="1">
      <c r="A146" s="49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8.75" customHeight="1">
      <c r="A147" s="49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8.75" customHeight="1">
      <c r="A148" s="49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8.75" customHeight="1">
      <c r="A149" s="49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8.75" customHeight="1">
      <c r="A150" s="49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8.75" customHeight="1">
      <c r="A151" s="49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8.75" customHeight="1">
      <c r="A152" s="49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8.75" customHeight="1">
      <c r="A153" s="49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8.75" customHeight="1">
      <c r="A154" s="49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8.75" customHeight="1">
      <c r="A155" s="49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8.75" customHeight="1">
      <c r="A156" s="49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8.75" customHeight="1">
      <c r="A157" s="49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8.75" customHeight="1">
      <c r="A158" s="49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8.75" customHeight="1">
      <c r="A159" s="49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8.75" customHeight="1">
      <c r="A160" s="49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8.75" customHeight="1">
      <c r="A161" s="49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8.75" customHeight="1">
      <c r="A162" s="49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8.75" customHeight="1">
      <c r="A163" s="49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8.75" customHeight="1">
      <c r="A164" s="49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8.75" customHeight="1">
      <c r="A165" s="49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8.75" customHeight="1">
      <c r="A166" s="49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8.75" customHeight="1">
      <c r="A167" s="49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8.75" customHeight="1">
      <c r="A168" s="49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8.75" customHeight="1">
      <c r="A169" s="49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8.75" customHeight="1">
      <c r="A170" s="49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8.75" customHeight="1">
      <c r="A171" s="49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8.75" customHeight="1">
      <c r="A172" s="49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8.75" customHeight="1">
      <c r="A173" s="49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8.75" customHeight="1">
      <c r="A174" s="49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8.75" customHeight="1">
      <c r="A175" s="49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8.75" customHeight="1">
      <c r="A176" s="49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8.75" customHeight="1">
      <c r="A177" s="49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8.75" customHeight="1">
      <c r="A178" s="49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8.75" customHeight="1">
      <c r="A179" s="49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8.75" customHeight="1">
      <c r="A180" s="49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8.75" customHeight="1">
      <c r="A181" s="49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8.75" customHeight="1">
      <c r="A182" s="49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8.75" customHeight="1">
      <c r="A183" s="49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8.75" customHeight="1">
      <c r="A184" s="49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8.75" customHeight="1">
      <c r="A185" s="49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8.75" customHeight="1">
      <c r="A186" s="49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8.75" customHeight="1">
      <c r="A187" s="49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8.75" customHeight="1">
      <c r="A188" s="49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8.75" customHeight="1">
      <c r="A189" s="49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8.75" customHeight="1">
      <c r="A190" s="49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8.75" customHeight="1">
      <c r="A191" s="49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8.75" customHeight="1">
      <c r="A192" s="49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8.75" customHeight="1">
      <c r="A193" s="49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8.75" customHeight="1">
      <c r="A194" s="49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8.75" customHeight="1">
      <c r="A195" s="49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8.75" customHeight="1">
      <c r="A196" s="49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8.75" customHeight="1">
      <c r="A197" s="49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8.75" customHeight="1">
      <c r="A198" s="49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8.75" customHeight="1">
      <c r="A199" s="49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8.75" customHeight="1">
      <c r="A200" s="49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8.75" customHeight="1">
      <c r="A201" s="49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8.75" customHeight="1">
      <c r="A202" s="49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8.75" customHeight="1">
      <c r="A203" s="49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8.75" customHeight="1">
      <c r="A204" s="49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8.75" customHeight="1">
      <c r="A205" s="49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8.75" customHeight="1">
      <c r="A206" s="49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8.75" customHeight="1">
      <c r="A207" s="49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8.75" customHeight="1">
      <c r="A208" s="49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8.75" customHeight="1">
      <c r="A209" s="49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8.75" customHeight="1">
      <c r="A210" s="49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8.75" customHeight="1">
      <c r="A211" s="49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8.75" customHeight="1">
      <c r="A212" s="49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8.75" customHeight="1">
      <c r="A213" s="49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8.75" customHeight="1">
      <c r="A214" s="49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8.75" customHeight="1">
      <c r="A215" s="49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8.75" customHeight="1">
      <c r="A216" s="49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8.75" customHeight="1">
      <c r="A217" s="49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8.75" customHeight="1">
      <c r="A218" s="49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8.75" customHeight="1">
      <c r="A219" s="49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8.75" customHeight="1">
      <c r="A220" s="49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8.75" customHeight="1">
      <c r="A221" s="49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8.75" customHeight="1">
      <c r="A222" s="49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8.75" customHeight="1">
      <c r="A223" s="49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8.75" customHeight="1">
      <c r="A224" s="49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8.75" customHeight="1">
      <c r="A225" s="49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8.75" customHeight="1">
      <c r="A226" s="49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8.75" customHeight="1">
      <c r="A227" s="49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8.75" customHeight="1">
      <c r="A228" s="49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8.75" customHeight="1">
      <c r="A229" s="49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8.75" customHeight="1">
      <c r="A230" s="49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8.75" customHeight="1">
      <c r="A231" s="49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8.75" customHeight="1">
      <c r="A232" s="49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8.75" customHeight="1">
      <c r="A233" s="49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8.75" customHeight="1">
      <c r="A234" s="49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8.75" customHeight="1">
      <c r="A235" s="49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8.75" customHeight="1">
      <c r="A236" s="49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8.75" customHeight="1">
      <c r="A237" s="49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8.75" customHeight="1">
      <c r="A238" s="49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8.75" customHeight="1">
      <c r="A239" s="49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8.75" customHeight="1">
      <c r="A240" s="49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8.75" customHeight="1">
      <c r="A241" s="49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8.75" customHeight="1">
      <c r="A242" s="49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8.75" customHeight="1">
      <c r="A243" s="49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8.75" customHeight="1">
      <c r="A244" s="49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8.75" customHeight="1">
      <c r="A245" s="49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8.75" customHeight="1">
      <c r="A246" s="49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8.75" customHeight="1">
      <c r="A247" s="49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8.75" customHeight="1">
      <c r="A248" s="49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8.75" customHeight="1">
      <c r="A249" s="49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8.75" customHeight="1">
      <c r="A250" s="49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8.75" customHeight="1">
      <c r="A251" s="49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8.75" customHeight="1">
      <c r="A252" s="49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8.75" customHeight="1">
      <c r="A253" s="49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8.75" customHeight="1">
      <c r="A254" s="49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8.75" customHeight="1">
      <c r="A255" s="49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8.75" customHeight="1">
      <c r="A256" s="49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8.75" customHeight="1">
      <c r="A257" s="49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8.75" customHeight="1">
      <c r="A258" s="49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8.75" customHeight="1">
      <c r="A259" s="49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8.75" customHeight="1">
      <c r="A260" s="49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8.75" customHeight="1">
      <c r="A261" s="49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8.75" customHeight="1">
      <c r="A262" s="49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8.75" customHeight="1">
      <c r="A263" s="49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8.75" customHeight="1">
      <c r="A264" s="49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8.75" customHeight="1">
      <c r="A265" s="49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8.75" customHeight="1">
      <c r="A266" s="49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8.75" customHeight="1">
      <c r="A267" s="49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8.75" customHeight="1">
      <c r="A268" s="49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8.75" customHeight="1">
      <c r="A269" s="49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8.75" customHeight="1">
      <c r="A270" s="49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8.75" customHeight="1">
      <c r="A271" s="49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8.75" customHeight="1">
      <c r="A272" s="49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8.75" customHeight="1">
      <c r="A273" s="49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8.75" customHeight="1">
      <c r="A274" s="49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8.75" customHeight="1">
      <c r="A275" s="49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8.75" customHeight="1">
      <c r="A276" s="49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8.75" customHeight="1">
      <c r="A277" s="49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8.75" customHeight="1">
      <c r="A278" s="49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8.75" customHeight="1">
      <c r="A279" s="49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8.75" customHeight="1">
      <c r="A280" s="49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8.75" customHeight="1">
      <c r="A281" s="49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8.75" customHeight="1">
      <c r="A282" s="49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8.75" customHeight="1">
      <c r="A283" s="49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8.75" customHeight="1">
      <c r="A284" s="49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8.75" customHeight="1">
      <c r="A285" s="49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8.75" customHeight="1">
      <c r="A286" s="49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8.75" customHeight="1">
      <c r="A287" s="49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8.75" customHeight="1">
      <c r="A288" s="49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8.75" customHeight="1">
      <c r="A289" s="49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8.75" customHeight="1">
      <c r="A290" s="49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8.75" customHeight="1">
      <c r="A291" s="49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8.75" customHeight="1">
      <c r="A292" s="49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8.75" customHeight="1">
      <c r="A293" s="49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8.75" customHeight="1">
      <c r="A294" s="49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8.75" customHeight="1">
      <c r="A295" s="49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8.75" customHeight="1">
      <c r="A296" s="49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8.75" customHeight="1">
      <c r="A297" s="49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8.75" customHeight="1">
      <c r="A298" s="49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8.75" customHeight="1">
      <c r="A299" s="49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8.75" customHeight="1">
      <c r="A300" s="49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8.75" customHeight="1">
      <c r="A301" s="49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8.75" customHeight="1">
      <c r="A302" s="49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8.75" customHeight="1">
      <c r="A303" s="49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8.75" customHeight="1">
      <c r="A304" s="49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8.75" customHeight="1">
      <c r="A305" s="49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8.75" customHeight="1">
      <c r="A306" s="49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8.75" customHeight="1">
      <c r="A307" s="49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8.75" customHeight="1">
      <c r="A308" s="49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8.75" customHeight="1">
      <c r="A309" s="49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8.75" customHeight="1">
      <c r="A310" s="49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8.75" customHeight="1">
      <c r="A311" s="49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8.75" customHeight="1">
      <c r="A312" s="49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8.75" customHeight="1">
      <c r="A313" s="49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8.75" customHeight="1">
      <c r="A314" s="49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8.75" customHeight="1">
      <c r="A315" s="49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8.75" customHeight="1">
      <c r="A316" s="49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8.75" customHeight="1">
      <c r="A317" s="49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8.75" customHeight="1">
      <c r="A318" s="49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8.75" customHeight="1">
      <c r="A319" s="49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8.75" customHeight="1">
      <c r="A320" s="49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8.75" customHeight="1">
      <c r="A321" s="49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8.75" customHeight="1">
      <c r="A322" s="49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8.75" customHeight="1">
      <c r="A323" s="49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8.75" customHeight="1">
      <c r="A324" s="49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8.75" customHeight="1">
      <c r="A325" s="49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8.75" customHeight="1">
      <c r="A326" s="49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8.75" customHeight="1">
      <c r="A327" s="49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8.75" customHeight="1">
      <c r="A328" s="49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8.75" customHeight="1">
      <c r="A329" s="49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8.75" customHeight="1">
      <c r="A330" s="49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8.75" customHeight="1">
      <c r="A331" s="49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8.75" customHeight="1">
      <c r="A332" s="49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8.75" customHeight="1">
      <c r="A333" s="49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8.75" customHeight="1">
      <c r="A334" s="49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8.75" customHeight="1">
      <c r="A335" s="49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8.75" customHeight="1">
      <c r="A336" s="49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8.75" customHeight="1">
      <c r="A337" s="49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8.75" customHeight="1">
      <c r="A338" s="49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8.75" customHeight="1">
      <c r="A339" s="49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8.75" customHeight="1">
      <c r="A340" s="49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8.75" customHeight="1">
      <c r="A341" s="49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8.75" customHeight="1">
      <c r="A342" s="49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8.75" customHeight="1">
      <c r="A343" s="49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8.75" customHeight="1">
      <c r="A344" s="49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8.75" customHeight="1">
      <c r="A345" s="49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8.75" customHeight="1">
      <c r="A346" s="49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8.75" customHeight="1">
      <c r="A347" s="49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8.75" customHeight="1">
      <c r="A348" s="49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8.75" customHeight="1">
      <c r="A349" s="49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8.75" customHeight="1">
      <c r="A350" s="49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8.75" customHeight="1">
      <c r="A351" s="49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8.75" customHeight="1">
      <c r="A352" s="49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8.75" customHeight="1">
      <c r="A353" s="49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8.75" customHeight="1">
      <c r="A354" s="49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8.75" customHeight="1">
      <c r="A355" s="49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8.75" customHeight="1">
      <c r="A356" s="49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8.75" customHeight="1">
      <c r="A357" s="49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8.75" customHeight="1">
      <c r="A358" s="49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8.75" customHeight="1">
      <c r="A359" s="49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8.75" customHeight="1">
      <c r="A360" s="49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8.75" customHeight="1">
      <c r="A361" s="49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8.75" customHeight="1">
      <c r="A362" s="49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8.75" customHeight="1">
      <c r="A363" s="49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8.75" customHeight="1">
      <c r="A364" s="49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8.75" customHeight="1">
      <c r="A365" s="49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8.75" customHeight="1">
      <c r="A366" s="49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8.75" customHeight="1">
      <c r="A367" s="49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8.75" customHeight="1">
      <c r="A368" s="49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8.75" customHeight="1">
      <c r="A369" s="49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8.75" customHeight="1">
      <c r="A370" s="49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8.75" customHeight="1">
      <c r="A371" s="49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8.75" customHeight="1">
      <c r="A372" s="49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8.75" customHeight="1">
      <c r="A373" s="49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8.75" customHeight="1">
      <c r="A374" s="49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8.75" customHeight="1">
      <c r="A375" s="49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8.75" customHeight="1">
      <c r="A376" s="49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8.75" customHeight="1">
      <c r="A377" s="49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8.75" customHeight="1">
      <c r="A378" s="49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8.75" customHeight="1">
      <c r="A379" s="49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8.75" customHeight="1">
      <c r="A380" s="49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8.75" customHeight="1">
      <c r="A381" s="49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8.75" customHeight="1">
      <c r="A382" s="49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8.75" customHeight="1">
      <c r="A383" s="49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8.75" customHeight="1">
      <c r="A384" s="49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8.75" customHeight="1">
      <c r="A385" s="49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8.75" customHeight="1">
      <c r="A386" s="49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8.75" customHeight="1">
      <c r="A387" s="49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8.75" customHeight="1">
      <c r="A388" s="49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8.75" customHeight="1">
      <c r="A389" s="49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8.75" customHeight="1">
      <c r="A390" s="49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8.75" customHeight="1">
      <c r="A391" s="49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8.75" customHeight="1">
      <c r="A392" s="49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8.75" customHeight="1">
      <c r="A393" s="49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8.75" customHeight="1">
      <c r="A394" s="49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8.75" customHeight="1">
      <c r="A395" s="49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8.75" customHeight="1">
      <c r="A396" s="49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8.75" customHeight="1">
      <c r="A397" s="49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8.75" customHeight="1">
      <c r="A398" s="49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8.75" customHeight="1">
      <c r="A399" s="49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8.75" customHeight="1">
      <c r="A400" s="49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8.75" customHeight="1">
      <c r="A401" s="49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8.75" customHeight="1">
      <c r="A402" s="49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8.75" customHeight="1">
      <c r="A403" s="49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8.75" customHeight="1">
      <c r="A404" s="49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8.75" customHeight="1">
      <c r="A405" s="49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8.75" customHeight="1">
      <c r="A406" s="49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8.75" customHeight="1">
      <c r="A407" s="49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8.75" customHeight="1">
      <c r="A408" s="49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8.75" customHeight="1">
      <c r="A409" s="49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8.75" customHeight="1">
      <c r="A410" s="49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8.75" customHeight="1">
      <c r="A411" s="49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8.75" customHeight="1">
      <c r="A412" s="49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8.75" customHeight="1">
      <c r="A413" s="49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8.75" customHeight="1">
      <c r="A414" s="49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8.75" customHeight="1">
      <c r="A415" s="49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8.75" customHeight="1">
      <c r="A416" s="49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8.75" customHeight="1">
      <c r="A417" s="49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8.75" customHeight="1">
      <c r="A418" s="49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8.75" customHeight="1">
      <c r="A419" s="49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8.75" customHeight="1">
      <c r="A420" s="49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8.75" customHeight="1">
      <c r="A421" s="49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8.75" customHeight="1">
      <c r="A422" s="49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8.75" customHeight="1">
      <c r="A423" s="49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8.75" customHeight="1">
      <c r="A424" s="49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8.75" customHeight="1">
      <c r="A425" s="49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8.75" customHeight="1">
      <c r="A426" s="49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8.75" customHeight="1">
      <c r="A427" s="49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8.75" customHeight="1">
      <c r="A428" s="49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8.75" customHeight="1">
      <c r="A429" s="49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8.75" customHeight="1">
      <c r="A430" s="49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8.75" customHeight="1">
      <c r="A431" s="49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8.75" customHeight="1">
      <c r="A432" s="49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8.75" customHeight="1">
      <c r="A433" s="49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8.75" customHeight="1">
      <c r="A434" s="49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8.75" customHeight="1">
      <c r="A435" s="49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8.75" customHeight="1">
      <c r="A436" s="49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8.75" customHeight="1">
      <c r="A437" s="49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8.75" customHeight="1">
      <c r="A438" s="49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8.75" customHeight="1">
      <c r="A439" s="49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8.75" customHeight="1">
      <c r="A440" s="49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8.75" customHeight="1">
      <c r="A441" s="49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8.75" customHeight="1">
      <c r="A442" s="49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8.75" customHeight="1">
      <c r="A443" s="49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8.75" customHeight="1">
      <c r="A444" s="49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8.75" customHeight="1">
      <c r="A445" s="49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8.75" customHeight="1">
      <c r="A446" s="49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8.75" customHeight="1">
      <c r="A447" s="49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8.75" customHeight="1">
      <c r="A448" s="49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8.75" customHeight="1">
      <c r="A449" s="49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8.75" customHeight="1">
      <c r="A450" s="49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8.75" customHeight="1">
      <c r="A451" s="49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8.75" customHeight="1">
      <c r="A452" s="49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8.75" customHeight="1">
      <c r="A453" s="49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8.75" customHeight="1">
      <c r="A454" s="49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8.75" customHeight="1">
      <c r="A455" s="49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8.75" customHeight="1">
      <c r="A456" s="49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8.75" customHeight="1">
      <c r="A457" s="49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8.75" customHeight="1">
      <c r="A458" s="49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8.75" customHeight="1">
      <c r="A459" s="49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8.75" customHeight="1">
      <c r="A460" s="49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8.75" customHeight="1">
      <c r="A461" s="49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8.75" customHeight="1">
      <c r="A462" s="49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8.75" customHeight="1">
      <c r="A463" s="49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8.75" customHeight="1">
      <c r="A464" s="49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8.75" customHeight="1">
      <c r="A465" s="49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8.75" customHeight="1">
      <c r="A466" s="49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8.75" customHeight="1">
      <c r="A467" s="49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8.75" customHeight="1">
      <c r="A468" s="49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8.75" customHeight="1">
      <c r="A469" s="49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8.75" customHeight="1">
      <c r="A470" s="49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8.75" customHeight="1">
      <c r="A471" s="49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8.75" customHeight="1">
      <c r="A472" s="49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8.75" customHeight="1">
      <c r="A473" s="49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8.75" customHeight="1">
      <c r="A474" s="49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8.75" customHeight="1">
      <c r="A475" s="49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8.75" customHeight="1">
      <c r="A476" s="49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8.75" customHeight="1">
      <c r="A477" s="49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8.75" customHeight="1">
      <c r="A478" s="49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8.75" customHeight="1">
      <c r="A479" s="49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8.75" customHeight="1">
      <c r="A480" s="49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8.75" customHeight="1">
      <c r="A481" s="49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8.75" customHeight="1">
      <c r="A482" s="49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8.75" customHeight="1">
      <c r="A483" s="49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8.75" customHeight="1">
      <c r="A484" s="49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8.75" customHeight="1">
      <c r="A485" s="49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8.75" customHeight="1">
      <c r="A486" s="49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8.75" customHeight="1">
      <c r="A487" s="49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8.75" customHeight="1">
      <c r="A488" s="49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8.75" customHeight="1">
      <c r="A489" s="49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8.75" customHeight="1">
      <c r="A490" s="49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8.75" customHeight="1">
      <c r="A491" s="49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8.75" customHeight="1">
      <c r="A492" s="49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8.75" customHeight="1">
      <c r="A493" s="49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8.75" customHeight="1">
      <c r="A494" s="49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8.75" customHeight="1">
      <c r="A495" s="49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8.75" customHeight="1">
      <c r="A496" s="49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8.75" customHeight="1">
      <c r="A497" s="49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8.75" customHeight="1">
      <c r="A498" s="49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8.75" customHeight="1">
      <c r="A499" s="49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8.75" customHeight="1">
      <c r="A500" s="49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8.75" customHeight="1">
      <c r="A501" s="49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8.75" customHeight="1">
      <c r="A502" s="49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8.75" customHeight="1">
      <c r="A503" s="49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8.75" customHeight="1">
      <c r="A504" s="49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8.75" customHeight="1">
      <c r="A505" s="49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8.75" customHeight="1">
      <c r="A506" s="49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8.75" customHeight="1">
      <c r="A507" s="49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8.75" customHeight="1">
      <c r="A508" s="49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8.75" customHeight="1">
      <c r="A509" s="49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8.75" customHeight="1">
      <c r="A510" s="49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8.75" customHeight="1">
      <c r="A511" s="49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8.75" customHeight="1">
      <c r="A512" s="49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8.75" customHeight="1">
      <c r="A513" s="49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8.75" customHeight="1">
      <c r="A514" s="49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8.75" customHeight="1">
      <c r="A515" s="49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8.75" customHeight="1">
      <c r="A516" s="49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8.75" customHeight="1">
      <c r="A517" s="49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8.75" customHeight="1">
      <c r="A518" s="49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8.75" customHeight="1">
      <c r="A519" s="49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8.75" customHeight="1">
      <c r="A520" s="49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8.75" customHeight="1">
      <c r="A521" s="49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8.75" customHeight="1">
      <c r="A522" s="49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8.75" customHeight="1">
      <c r="A523" s="49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8.75" customHeight="1">
      <c r="A524" s="49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8.75" customHeight="1">
      <c r="A525" s="49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8.75" customHeight="1">
      <c r="A526" s="49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8.75" customHeight="1">
      <c r="A527" s="49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8.75" customHeight="1">
      <c r="A528" s="49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8.75" customHeight="1">
      <c r="A529" s="49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8.75" customHeight="1">
      <c r="A530" s="49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8.75" customHeight="1">
      <c r="A531" s="49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8.75" customHeight="1">
      <c r="A532" s="49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8.75" customHeight="1">
      <c r="A533" s="49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8.75" customHeight="1">
      <c r="A534" s="49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8.75" customHeight="1">
      <c r="A535" s="49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8.75" customHeight="1">
      <c r="A536" s="49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8.75" customHeight="1">
      <c r="A537" s="49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8.75" customHeight="1">
      <c r="A538" s="49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8.75" customHeight="1">
      <c r="A539" s="49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8.75" customHeight="1">
      <c r="A540" s="49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8.75" customHeight="1">
      <c r="A541" s="49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8.75" customHeight="1">
      <c r="A542" s="49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8.75" customHeight="1">
      <c r="A543" s="49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8.75" customHeight="1">
      <c r="A544" s="49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8.75" customHeight="1">
      <c r="A545" s="49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8.75" customHeight="1">
      <c r="A546" s="49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8.75" customHeight="1">
      <c r="A547" s="49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8.75" customHeight="1">
      <c r="A548" s="49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8.75" customHeight="1">
      <c r="A549" s="49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8.75" customHeight="1">
      <c r="A550" s="49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8.75" customHeight="1">
      <c r="A551" s="49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8.75" customHeight="1">
      <c r="A552" s="49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8.75" customHeight="1">
      <c r="A553" s="49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8.75" customHeight="1">
      <c r="A554" s="49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8.75" customHeight="1">
      <c r="A555" s="49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8.75" customHeight="1">
      <c r="A556" s="49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8.75" customHeight="1">
      <c r="A557" s="49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8.75" customHeight="1">
      <c r="A558" s="49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8.75" customHeight="1">
      <c r="A559" s="49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8.75" customHeight="1">
      <c r="A560" s="49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8.75" customHeight="1">
      <c r="A561" s="49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8.75" customHeight="1">
      <c r="A562" s="49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8.75" customHeight="1">
      <c r="A563" s="49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8.75" customHeight="1">
      <c r="A564" s="49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8.75" customHeight="1">
      <c r="A565" s="49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8.75" customHeight="1">
      <c r="A566" s="49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8.75" customHeight="1">
      <c r="A567" s="49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8.75" customHeight="1">
      <c r="A568" s="49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8.75" customHeight="1">
      <c r="A569" s="49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8.75" customHeight="1">
      <c r="A570" s="49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8.75" customHeight="1">
      <c r="A571" s="49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8.75" customHeight="1">
      <c r="A572" s="49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8.75" customHeight="1">
      <c r="A573" s="49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8.75" customHeight="1">
      <c r="A574" s="49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8.75" customHeight="1">
      <c r="A575" s="49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8.75" customHeight="1">
      <c r="A576" s="49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8.75" customHeight="1">
      <c r="A577" s="49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8.75" customHeight="1">
      <c r="A578" s="49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8.75" customHeight="1">
      <c r="A579" s="49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8.75" customHeight="1">
      <c r="A580" s="49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8.75" customHeight="1">
      <c r="A581" s="49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8.75" customHeight="1">
      <c r="A582" s="49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8.75" customHeight="1">
      <c r="A583" s="49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8.75" customHeight="1">
      <c r="A584" s="49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8.75" customHeight="1">
      <c r="A585" s="49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8.75" customHeight="1">
      <c r="A586" s="49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8.75" customHeight="1">
      <c r="A587" s="49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8.75" customHeight="1">
      <c r="A588" s="49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8.75" customHeight="1">
      <c r="A589" s="49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8.75" customHeight="1">
      <c r="A590" s="49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8.75" customHeight="1">
      <c r="A591" s="49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8.75" customHeight="1">
      <c r="A592" s="49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8.75" customHeight="1">
      <c r="A593" s="49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8.75" customHeight="1">
      <c r="A594" s="49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8.75" customHeight="1">
      <c r="A595" s="49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8.75" customHeight="1">
      <c r="A596" s="49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8.75" customHeight="1">
      <c r="A597" s="49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8.75" customHeight="1">
      <c r="A598" s="49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8.75" customHeight="1">
      <c r="A599" s="49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8.75" customHeight="1">
      <c r="A600" s="49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8.75" customHeight="1">
      <c r="A601" s="49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8.75" customHeight="1">
      <c r="A602" s="49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8.75" customHeight="1">
      <c r="A603" s="49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8.75" customHeight="1">
      <c r="A604" s="49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8.75" customHeight="1">
      <c r="A605" s="49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8.75" customHeight="1">
      <c r="A606" s="49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8.75" customHeight="1">
      <c r="A607" s="49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8.75" customHeight="1">
      <c r="A608" s="49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8.75" customHeight="1">
      <c r="A609" s="49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8.75" customHeight="1">
      <c r="A610" s="49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8.75" customHeight="1">
      <c r="A611" s="49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8.75" customHeight="1">
      <c r="A612" s="49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8.75" customHeight="1">
      <c r="A613" s="49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8.75" customHeight="1">
      <c r="A614" s="49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8.75" customHeight="1">
      <c r="A615" s="49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8.75" customHeight="1">
      <c r="A616" s="49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8.75" customHeight="1">
      <c r="A617" s="49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8.75" customHeight="1">
      <c r="A618" s="49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8.75" customHeight="1">
      <c r="A619" s="49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8.75" customHeight="1">
      <c r="A620" s="49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8.75" customHeight="1">
      <c r="A621" s="49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8.75" customHeight="1">
      <c r="A622" s="49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8.75" customHeight="1">
      <c r="A623" s="49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8.75" customHeight="1">
      <c r="A624" s="49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8.75" customHeight="1">
      <c r="A625" s="49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8.75" customHeight="1">
      <c r="A626" s="49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8.75" customHeight="1">
      <c r="A627" s="49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8.75" customHeight="1">
      <c r="A628" s="49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8.75" customHeight="1">
      <c r="A629" s="49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8.75" customHeight="1">
      <c r="A630" s="49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8.75" customHeight="1">
      <c r="A631" s="49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8.75" customHeight="1">
      <c r="A632" s="49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8.75" customHeight="1">
      <c r="A633" s="49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8.75" customHeight="1">
      <c r="A634" s="49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8.75" customHeight="1">
      <c r="A635" s="49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8.75" customHeight="1">
      <c r="A636" s="49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8.75" customHeight="1">
      <c r="A637" s="49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8.75" customHeight="1">
      <c r="A638" s="49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8.75" customHeight="1">
      <c r="A639" s="49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8.75" customHeight="1">
      <c r="A640" s="49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8.75" customHeight="1">
      <c r="A641" s="49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8.75" customHeight="1">
      <c r="A642" s="49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8.75" customHeight="1">
      <c r="A643" s="49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8.75" customHeight="1">
      <c r="A644" s="49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8.75" customHeight="1">
      <c r="A645" s="49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8.75" customHeight="1">
      <c r="A646" s="49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8.75" customHeight="1">
      <c r="A647" s="49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8.75" customHeight="1">
      <c r="A648" s="49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8.75" customHeight="1">
      <c r="A649" s="49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8.75" customHeight="1">
      <c r="A650" s="49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8.75" customHeight="1">
      <c r="A651" s="49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8.75" customHeight="1">
      <c r="A652" s="49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8.75" customHeight="1">
      <c r="A653" s="49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8.75" customHeight="1">
      <c r="A654" s="49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8.75" customHeight="1">
      <c r="A655" s="49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8.75" customHeight="1">
      <c r="A656" s="49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8.75" customHeight="1">
      <c r="A657" s="49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8.75" customHeight="1">
      <c r="A658" s="49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8.75" customHeight="1">
      <c r="A659" s="49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8.75" customHeight="1">
      <c r="A660" s="49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8.75" customHeight="1">
      <c r="A661" s="49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8.75" customHeight="1">
      <c r="A662" s="49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8.75" customHeight="1">
      <c r="A663" s="49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8.75" customHeight="1">
      <c r="A664" s="49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8.75" customHeight="1">
      <c r="A665" s="49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8.75" customHeight="1">
      <c r="A666" s="49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8.75" customHeight="1">
      <c r="A667" s="49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8.75" customHeight="1">
      <c r="A668" s="49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8.75" customHeight="1">
      <c r="A669" s="49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8.75" customHeight="1">
      <c r="A670" s="49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8.75" customHeight="1">
      <c r="A671" s="49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8.75" customHeight="1">
      <c r="A672" s="49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8.75" customHeight="1">
      <c r="A673" s="49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8.75" customHeight="1">
      <c r="A674" s="49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8.75" customHeight="1">
      <c r="A675" s="49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8.75" customHeight="1">
      <c r="A676" s="49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8.75" customHeight="1">
      <c r="A677" s="49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8.75" customHeight="1">
      <c r="A678" s="49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8.75" customHeight="1">
      <c r="A679" s="49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8.75" customHeight="1">
      <c r="A680" s="49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8.75" customHeight="1">
      <c r="A681" s="49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8.75" customHeight="1">
      <c r="A682" s="49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8.75" customHeight="1">
      <c r="A683" s="49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8.75" customHeight="1">
      <c r="A684" s="49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8.75" customHeight="1">
      <c r="A685" s="49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8.75" customHeight="1">
      <c r="A686" s="49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8.75" customHeight="1">
      <c r="A687" s="49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8.75" customHeight="1">
      <c r="A688" s="49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8.75" customHeight="1">
      <c r="A689" s="49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8.75" customHeight="1">
      <c r="A690" s="49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8.75" customHeight="1">
      <c r="A691" s="49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8.75" customHeight="1">
      <c r="A692" s="49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8.75" customHeight="1">
      <c r="A693" s="49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8.75" customHeight="1">
      <c r="A694" s="49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8.75" customHeight="1">
      <c r="A695" s="49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8.75" customHeight="1">
      <c r="A696" s="49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8.75" customHeight="1">
      <c r="A697" s="49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8.75" customHeight="1">
      <c r="A698" s="49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8.75" customHeight="1">
      <c r="A699" s="49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8.75" customHeight="1">
      <c r="A700" s="49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8.75" customHeight="1">
      <c r="A701" s="49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8.75" customHeight="1">
      <c r="A702" s="49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8.75" customHeight="1">
      <c r="A703" s="49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8.75" customHeight="1">
      <c r="A704" s="49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8.75" customHeight="1">
      <c r="A705" s="49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8.75" customHeight="1">
      <c r="A706" s="49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8.75" customHeight="1">
      <c r="A707" s="49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8.75" customHeight="1">
      <c r="A708" s="49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8.75" customHeight="1">
      <c r="A709" s="49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8.75" customHeight="1">
      <c r="A710" s="49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8.75" customHeight="1">
      <c r="A711" s="49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8.75" customHeight="1">
      <c r="A712" s="49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8.75" customHeight="1">
      <c r="A713" s="49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8.75" customHeight="1">
      <c r="A714" s="49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8.75" customHeight="1">
      <c r="A715" s="49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8.75" customHeight="1">
      <c r="A716" s="49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8.75" customHeight="1">
      <c r="A717" s="49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8.75" customHeight="1">
      <c r="A718" s="49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8.75" customHeight="1">
      <c r="A719" s="49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8.75" customHeight="1">
      <c r="A720" s="49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8.75" customHeight="1">
      <c r="A721" s="49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8.75" customHeight="1">
      <c r="A722" s="49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8.75" customHeight="1">
      <c r="A723" s="49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8.75" customHeight="1">
      <c r="A724" s="49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8.75" customHeight="1">
      <c r="A725" s="49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8.75" customHeight="1">
      <c r="A726" s="49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8.75" customHeight="1">
      <c r="A727" s="49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8.75" customHeight="1">
      <c r="A728" s="49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8.75" customHeight="1">
      <c r="A729" s="49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8.75" customHeight="1">
      <c r="A730" s="49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8.75" customHeight="1">
      <c r="A731" s="49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8.75" customHeight="1">
      <c r="A732" s="49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8.75" customHeight="1">
      <c r="A733" s="49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8.75" customHeight="1">
      <c r="A734" s="49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8.75" customHeight="1">
      <c r="A735" s="49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8.75" customHeight="1">
      <c r="A736" s="49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8.75" customHeight="1">
      <c r="A737" s="49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8.75" customHeight="1">
      <c r="A738" s="49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8.75" customHeight="1">
      <c r="A739" s="49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8.75" customHeight="1">
      <c r="A740" s="49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8.75" customHeight="1">
      <c r="A741" s="49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8.75" customHeight="1">
      <c r="A742" s="49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8.75" customHeight="1">
      <c r="A743" s="49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8.75" customHeight="1">
      <c r="A744" s="49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8.75" customHeight="1">
      <c r="A745" s="49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8.75" customHeight="1">
      <c r="A746" s="49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8.75" customHeight="1">
      <c r="A747" s="49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8.75" customHeight="1">
      <c r="A748" s="49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8.75" customHeight="1">
      <c r="A749" s="49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8.75" customHeight="1">
      <c r="A750" s="49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8.75" customHeight="1">
      <c r="A751" s="49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8.75" customHeight="1">
      <c r="A752" s="49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8.75" customHeight="1">
      <c r="A753" s="49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8.75" customHeight="1">
      <c r="A754" s="49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8.75" customHeight="1">
      <c r="A755" s="49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8.75" customHeight="1">
      <c r="A756" s="49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8.75" customHeight="1">
      <c r="A757" s="49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8.75" customHeight="1">
      <c r="A758" s="49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8.75" customHeight="1">
      <c r="A759" s="49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8.75" customHeight="1">
      <c r="A760" s="49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8.75" customHeight="1">
      <c r="A761" s="49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8.75" customHeight="1">
      <c r="A762" s="49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8.75" customHeight="1">
      <c r="A763" s="49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8.75" customHeight="1">
      <c r="A764" s="49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8.75" customHeight="1">
      <c r="A765" s="49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8.75" customHeight="1">
      <c r="A766" s="49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8.75" customHeight="1">
      <c r="A767" s="49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8.75" customHeight="1">
      <c r="A768" s="49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8.75" customHeight="1">
      <c r="A769" s="49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8.75" customHeight="1">
      <c r="A770" s="49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8.75" customHeight="1">
      <c r="A771" s="49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8.75" customHeight="1">
      <c r="A772" s="49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8.75" customHeight="1">
      <c r="A773" s="49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8.75" customHeight="1">
      <c r="A774" s="49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8.75" customHeight="1">
      <c r="A775" s="49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8.75" customHeight="1">
      <c r="A776" s="49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8.75" customHeight="1">
      <c r="A777" s="49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8.75" customHeight="1">
      <c r="A778" s="49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8.75" customHeight="1">
      <c r="A779" s="49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8.75" customHeight="1">
      <c r="A780" s="49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8.75" customHeight="1">
      <c r="A781" s="49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8.75" customHeight="1">
      <c r="A782" s="49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8.75" customHeight="1">
      <c r="A783" s="49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8.75" customHeight="1">
      <c r="A784" s="49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8.75" customHeight="1">
      <c r="A785" s="49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8.75" customHeight="1">
      <c r="A786" s="49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8.75" customHeight="1">
      <c r="A787" s="49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8.75" customHeight="1">
      <c r="A788" s="49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8.75" customHeight="1">
      <c r="A789" s="49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8.75" customHeight="1">
      <c r="A790" s="49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8.75" customHeight="1">
      <c r="A791" s="49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8.75" customHeight="1">
      <c r="A792" s="49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8.75" customHeight="1">
      <c r="A793" s="49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8.75" customHeight="1">
      <c r="A794" s="49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8.75" customHeight="1">
      <c r="A795" s="49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8.75" customHeight="1">
      <c r="A796" s="49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8.75" customHeight="1">
      <c r="A797" s="49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8.75" customHeight="1">
      <c r="A798" s="49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8.75" customHeight="1">
      <c r="A799" s="49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8.75" customHeight="1">
      <c r="A800" s="49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8.75" customHeight="1">
      <c r="A801" s="49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8.75" customHeight="1">
      <c r="A802" s="49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8.75" customHeight="1">
      <c r="A803" s="49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8.75" customHeight="1">
      <c r="A804" s="49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8.75" customHeight="1">
      <c r="A805" s="49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8.75" customHeight="1">
      <c r="A806" s="49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8.75" customHeight="1">
      <c r="A807" s="49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8.75" customHeight="1">
      <c r="A808" s="49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8.75" customHeight="1">
      <c r="A809" s="49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8.75" customHeight="1">
      <c r="A810" s="49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8.75" customHeight="1">
      <c r="A811" s="49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8.75" customHeight="1">
      <c r="A812" s="49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8.75" customHeight="1">
      <c r="A813" s="49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8.75" customHeight="1">
      <c r="A814" s="49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8.75" customHeight="1">
      <c r="A815" s="49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8.75" customHeight="1">
      <c r="A816" s="49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8.75" customHeight="1">
      <c r="A817" s="49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8.75" customHeight="1">
      <c r="A818" s="49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8.75" customHeight="1">
      <c r="A819" s="49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8.75" customHeight="1">
      <c r="A820" s="49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8.75" customHeight="1">
      <c r="A821" s="49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8.75" customHeight="1">
      <c r="A822" s="49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8.75" customHeight="1">
      <c r="A823" s="49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8.75" customHeight="1">
      <c r="A824" s="49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8.75" customHeight="1">
      <c r="A825" s="49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8.75" customHeight="1">
      <c r="A826" s="49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8.75" customHeight="1">
      <c r="A827" s="49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8.75" customHeight="1">
      <c r="A828" s="49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8.75" customHeight="1">
      <c r="A829" s="49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8.75" customHeight="1">
      <c r="A830" s="49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8.75" customHeight="1">
      <c r="A831" s="49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8.75" customHeight="1">
      <c r="A832" s="49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8.75" customHeight="1">
      <c r="A833" s="49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8.75" customHeight="1">
      <c r="A834" s="49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8.75" customHeight="1">
      <c r="A835" s="49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8.75" customHeight="1">
      <c r="A836" s="49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8.75" customHeight="1">
      <c r="A837" s="49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8.75" customHeight="1">
      <c r="A838" s="49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8.75" customHeight="1">
      <c r="A839" s="49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8.75" customHeight="1">
      <c r="A840" s="49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8.75" customHeight="1">
      <c r="A841" s="49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8.75" customHeight="1">
      <c r="A842" s="49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8.75" customHeight="1">
      <c r="A843" s="49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8.75" customHeight="1">
      <c r="A844" s="49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8.75" customHeight="1">
      <c r="A845" s="49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8.75" customHeight="1">
      <c r="A846" s="49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8.75" customHeight="1">
      <c r="A847" s="49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8.75" customHeight="1">
      <c r="A848" s="49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8.75" customHeight="1">
      <c r="A849" s="49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8.75" customHeight="1">
      <c r="A850" s="49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8.75" customHeight="1">
      <c r="A851" s="49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8.75" customHeight="1">
      <c r="A852" s="49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8.75" customHeight="1">
      <c r="A853" s="49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8.75" customHeight="1">
      <c r="A854" s="49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8.75" customHeight="1">
      <c r="A855" s="49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8.75" customHeight="1">
      <c r="A856" s="49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8.75" customHeight="1">
      <c r="A857" s="49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8.75" customHeight="1">
      <c r="A858" s="49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8.75" customHeight="1">
      <c r="A859" s="49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8.75" customHeight="1">
      <c r="A860" s="49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8.75" customHeight="1">
      <c r="A861" s="49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8.75" customHeight="1">
      <c r="A862" s="49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8.75" customHeight="1">
      <c r="A863" s="49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8.75" customHeight="1">
      <c r="A864" s="49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8.75" customHeight="1">
      <c r="A865" s="49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8.75" customHeight="1">
      <c r="A866" s="49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8.75" customHeight="1">
      <c r="A867" s="49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8.75" customHeight="1">
      <c r="A868" s="49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8.75" customHeight="1">
      <c r="A869" s="49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8.75" customHeight="1">
      <c r="A870" s="49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8.75" customHeight="1">
      <c r="A871" s="49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8.75" customHeight="1">
      <c r="A872" s="49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8.75" customHeight="1">
      <c r="A873" s="49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8.75" customHeight="1">
      <c r="A874" s="49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8.75" customHeight="1">
      <c r="A875" s="49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8.75" customHeight="1">
      <c r="A876" s="49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8.75" customHeight="1">
      <c r="A877" s="49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8.75" customHeight="1">
      <c r="A878" s="49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8.75" customHeight="1">
      <c r="A879" s="49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8.75" customHeight="1">
      <c r="A880" s="49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8.75" customHeight="1">
      <c r="A881" s="49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8.75" customHeight="1">
      <c r="A882" s="49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8.75" customHeight="1">
      <c r="A883" s="49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8.75" customHeight="1">
      <c r="A884" s="49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8.75" customHeight="1">
      <c r="A885" s="49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8.75" customHeight="1">
      <c r="A886" s="49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8.75" customHeight="1">
      <c r="A887" s="49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8.75" customHeight="1">
      <c r="A888" s="49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8.75" customHeight="1">
      <c r="A889" s="49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8.75" customHeight="1">
      <c r="A890" s="49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8.75" customHeight="1">
      <c r="A891" s="49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8.75" customHeight="1">
      <c r="A892" s="49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8.75" customHeight="1">
      <c r="A893" s="49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8.75" customHeight="1">
      <c r="A894" s="49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8.75" customHeight="1">
      <c r="A895" s="49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8.75" customHeight="1">
      <c r="A896" s="49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8.75" customHeight="1">
      <c r="A897" s="49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8.75" customHeight="1">
      <c r="A898" s="49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8.75" customHeight="1">
      <c r="A899" s="49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8.75" customHeight="1">
      <c r="A900" s="49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8.75" customHeight="1">
      <c r="A901" s="49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8.75" customHeight="1">
      <c r="A902" s="49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8.75" customHeight="1">
      <c r="A903" s="49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8.75" customHeight="1">
      <c r="A904" s="49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8.75" customHeight="1">
      <c r="A905" s="49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8.75" customHeight="1">
      <c r="A906" s="49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8.75" customHeight="1">
      <c r="A907" s="49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8.75" customHeight="1">
      <c r="A908" s="49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8.75" customHeight="1">
      <c r="A909" s="49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8.75" customHeight="1">
      <c r="A910" s="49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8.75" customHeight="1">
      <c r="A911" s="49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8.75" customHeight="1">
      <c r="A912" s="49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8.75" customHeight="1">
      <c r="A913" s="49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8.75" customHeight="1">
      <c r="A914" s="49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8.75" customHeight="1">
      <c r="A915" s="49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8.75" customHeight="1">
      <c r="A916" s="49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8.75" customHeight="1">
      <c r="A917" s="49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8.75" customHeight="1">
      <c r="A918" s="49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8.75" customHeight="1">
      <c r="A919" s="49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8.75" customHeight="1">
      <c r="A920" s="49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8.75" customHeight="1">
      <c r="A921" s="49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8.75" customHeight="1">
      <c r="A922" s="49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8.75" customHeight="1">
      <c r="A923" s="49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8.75" customHeight="1">
      <c r="A924" s="49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8.75" customHeight="1">
      <c r="A925" s="49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8.75" customHeight="1">
      <c r="A926" s="49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8.75" customHeight="1">
      <c r="A927" s="49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8.75" customHeight="1">
      <c r="A928" s="49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8.75" customHeight="1">
      <c r="A929" s="49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8.75" customHeight="1">
      <c r="A930" s="49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8.75" customHeight="1">
      <c r="A931" s="49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8.75" customHeight="1">
      <c r="A932" s="49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8.75" customHeight="1">
      <c r="A933" s="49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8.75" customHeight="1">
      <c r="A934" s="49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8.75" customHeight="1">
      <c r="A935" s="49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8.75" customHeight="1">
      <c r="A936" s="49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8.75" customHeight="1">
      <c r="A937" s="49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8.75" customHeight="1">
      <c r="A938" s="49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8.75" customHeight="1">
      <c r="A939" s="49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8.75" customHeight="1">
      <c r="A940" s="49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8.75" customHeight="1">
      <c r="A941" s="49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8.75" customHeight="1">
      <c r="A942" s="49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8.75" customHeight="1">
      <c r="A943" s="49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8.75" customHeight="1">
      <c r="A944" s="49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8.75" customHeight="1">
      <c r="A945" s="49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8.75" customHeight="1">
      <c r="A946" s="49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8.75" customHeight="1">
      <c r="A947" s="49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8.75" customHeight="1">
      <c r="A948" s="49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8.75" customHeight="1">
      <c r="A949" s="49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8.75" customHeight="1">
      <c r="A950" s="49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8.75" customHeight="1">
      <c r="A951" s="49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8.75" customHeight="1">
      <c r="A952" s="49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8.75" customHeight="1">
      <c r="A953" s="49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8.75" customHeight="1">
      <c r="A954" s="49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8.75" customHeight="1">
      <c r="A955" s="49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8.75" customHeight="1">
      <c r="A956" s="49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8.75" customHeight="1">
      <c r="A957" s="49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8.75" customHeight="1">
      <c r="A958" s="49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8.75" customHeight="1">
      <c r="A959" s="49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8.75" customHeight="1">
      <c r="A960" s="49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8.75" customHeight="1">
      <c r="A961" s="49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8.75" customHeight="1">
      <c r="A962" s="49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8.75" customHeight="1">
      <c r="A963" s="49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8.75" customHeight="1">
      <c r="A964" s="49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8.75" customHeight="1">
      <c r="A965" s="49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8.75" customHeight="1">
      <c r="A966" s="49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8.75" customHeight="1">
      <c r="A967" s="49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8.75" customHeight="1">
      <c r="A968" s="49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8.75" customHeight="1">
      <c r="A969" s="49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8.75" customHeight="1">
      <c r="A970" s="49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8.75" customHeight="1">
      <c r="A971" s="49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8.75" customHeight="1">
      <c r="A972" s="49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8.75" customHeight="1">
      <c r="A973" s="49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8.75" customHeight="1">
      <c r="A974" s="49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8.75" customHeight="1">
      <c r="A975" s="49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8.75" customHeight="1">
      <c r="A976" s="49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8.75" customHeight="1">
      <c r="A977" s="49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8.75" customHeight="1">
      <c r="A978" s="49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8.75" customHeight="1">
      <c r="A979" s="49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8.75" customHeight="1">
      <c r="A980" s="49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8.75" customHeight="1">
      <c r="A981" s="49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8.75" customHeight="1">
      <c r="A982" s="49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8.75" customHeight="1">
      <c r="A983" s="49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8.75" customHeight="1">
      <c r="A984" s="49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8.75" customHeight="1">
      <c r="A985" s="49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8.75" customHeight="1">
      <c r="A986" s="49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8.75" customHeight="1">
      <c r="A987" s="49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8.75" customHeight="1">
      <c r="A988" s="49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8.75" customHeight="1">
      <c r="A989" s="49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8.75" customHeight="1">
      <c r="A990" s="49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8.75" customHeight="1">
      <c r="A991" s="49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8.75" customHeight="1">
      <c r="A992" s="49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8.75" customHeight="1">
      <c r="A993" s="49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8.75" customHeight="1">
      <c r="A994" s="49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8.75" customHeight="1">
      <c r="A995" s="49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8.75" customHeight="1">
      <c r="A996" s="49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8.75" customHeight="1">
      <c r="A997" s="49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8.75" customHeight="1">
      <c r="A998" s="49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8.75" customHeight="1">
      <c r="A999" s="49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8.75" customHeight="1">
      <c r="A1000" s="49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5">
    <mergeCell ref="H21:H22"/>
    <mergeCell ref="H23:H24"/>
    <mergeCell ref="H25:J25"/>
    <mergeCell ref="A1:J1"/>
    <mergeCell ref="A26:F26"/>
  </mergeCells>
  <printOptions horizontalCentered="1"/>
  <pageMargins bottom="0.75" footer="0.0" header="0.0" left="0.25" right="0.25" top="0.75"/>
  <pageSetup paperSize="8" orientation="landscape"/>
  <drawing r:id="rId1"/>
  <tableParts count="1">
    <tablePart r:id="rId3"/>
  </tableParts>
</worksheet>
</file>