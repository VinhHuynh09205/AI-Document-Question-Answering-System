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3b23805b24f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_lieu_chien_dich" sheetId="1" r:id="R22c29a9c0e1d4f05"/>
    <x:sheet xmlns:r="http://schemas.openxmlformats.org/officeDocument/2006/relationships" name="Tong_quan" sheetId="2" r:id="R4834aeaa483642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#,##0 &quot;₫&quot;"/>
    <x:numFmt numFmtId="202" formatCode="0.0"/>
    <x:numFmt numFmtId="203" formatCode="0.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66534"/>
      </x:patternFill>
    </x:fill>
    <x:fill>
      <x:patternFill patternType="solid">
        <x:fgColor rgb="22C55E"/>
      </x:patternFill>
    </x:fill>
    <x:fill>
      <x:patternFill patternType="solid">
        <x:fgColor rgb="DCFCE7"/>
      </x:patternFill>
    </x:fill>
    <x:fill>
      <x:patternFill patternType="solid">
        <x:fgColor rgb="F0FDF4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right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right"/>
    </x:xf>
    <x:xf numFmtId="202" fontId="3" fillId="5" borderId="0" xfId="0" applyNumberFormat="1" applyFont="1" applyFill="1" applyBorder="1" applyAlignment="1">
      <x:alignment horizontal="right"/>
    </x:xf>
    <x:xf numFmtId="202" fontId="3" fillId="5" borderId="1" xfId="0" applyNumberFormat="1" applyFont="1" applyFill="1" applyBorder="1" applyAlignment="1">
      <x:alignment horizontal="right"/>
    </x:xf>
    <x:xf numFmtId="201" fontId="3" fillId="5" borderId="0" xfId="0" applyNumberFormat="1" applyFont="1" applyFill="1" applyBorder="1" applyAlignment="1">
      <x:alignment horizontal="right"/>
    </x:xf>
    <x:xf numFmtId="201" fontId="3" fillId="5" borderId="1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b8f45627da4483" /><Relationship Type="http://schemas.openxmlformats.org/officeDocument/2006/relationships/theme" Target="/xl/theme/theme1.xml" Id="Re6c66b3966b74f8d" /><Relationship Type="http://schemas.openxmlformats.org/officeDocument/2006/relationships/sharedStrings" Target="/xl/sharedStrings.xml" Id="Rddc2bc6e56814910" /><Relationship Type="http://schemas.openxmlformats.org/officeDocument/2006/relationships/worksheet" Target="/xl/worksheets/sheet1.xml" Id="R22c29a9c0e1d4f05" /><Relationship Type="http://schemas.openxmlformats.org/officeDocument/2006/relationships/worksheet" Target="/xl/worksheets/sheet2.xml" Id="R4834aeaa483642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bbda34f0fe4c9b" /><Relationship Type="http://schemas.openxmlformats.org/officeDocument/2006/relationships/chart" Target="/xl/drawings/charts/chart2.xml" Id="Rad7d273d9bfa40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Người tham gia và rác tái chế theo khu vực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Người tham gia</c:v>
          </c:tx>
          <c:cat>
            <c:strRef>
              <c:f>'Tong_quan'!$D$4:$D$9</c:f>
              <c:strCache>
                <c:ptCount val="0"/>
              </c:strCache>
            </c:strRef>
          </c:cat>
          <c:val>
            <c:numRef>
              <c:f>'Tong_quan'!$E$4:$E$9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Rác tái chế (kg)</c:v>
          </c:tx>
          <c:cat>
            <c:strRef>
              <c:f>'Tong_quan'!$D$4:$D$9</c:f>
              <c:strCache>
                <c:ptCount val="0"/>
              </c:strCache>
            </c:strRef>
          </c:cat>
          <c:val>
            <c:numRef>
              <c:f>'Tong_quan'!$F$4:$F$9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Số buổi và mức hài lòng theo hoạt động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Số buổi</c:v>
          </c:tx>
          <c:cat>
            <c:strRef>
              <c:f>'Tong_quan'!$A$12:$A$16</c:f>
              <c:strCache>
                <c:ptCount val="0"/>
              </c:strCache>
            </c:strRef>
          </c:cat>
          <c:val>
            <c:numRef>
              <c:f>'Tong_quan'!$B$12:$B$16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Hài lòng TB</c:v>
          </c:tx>
          <c:cat>
            <c:strRef>
              <c:f>'Tong_quan'!$A$12:$A$16</c:f>
              <c:strCache>
                <c:ptCount val="0"/>
              </c:strCache>
            </c:strRef>
          </c:cat>
          <c:val>
            <c:numRef>
              <c:f>'Tong_quan'!$C$12:$C$16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bbda34f0fe4c9b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7d273d9bfa409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ngChienDich" displayName="BangChienDich" ref="A2:L32" headerRowCount="1">
  <x:tableColumns count="12">
    <x:tableColumn id="1" name="Ngày"/>
    <x:tableColumn id="2" name="Khu vực"/>
    <x:tableColumn id="3" name="Hoạt động"/>
    <x:tableColumn id="4" name="Người phụ trách"/>
    <x:tableColumn id="5" name="Số người tham gia"/>
    <x:tableColumn id="6" name="Rác tái chế (kg)"/>
    <x:tableColumn id="7" name="Chi phí (VND)"/>
    <x:tableColumn id="8" name="Mức hài lòng"/>
    <x:tableColumn id="9" name="Ghi chú"/>
    <x:tableColumn id="10" name="Chi phí/người"/>
    <x:tableColumn id="11" name="Kg/người"/>
    <x:tableColumn id="12" name="Đánh giá"/>
  </x:tableColumns>
  <x:tableStyleInfo name="TableStyleMedium2" showRowStripes="1"/>
</x:table>
</file>

<file path=xl/tables/table2.xml><?xml version="1.0" encoding="utf-8"?>
<x:table xmlns:x="http://schemas.openxmlformats.org/spreadsheetml/2006/main" id="2" name="BangTongQuanKhuVuc" displayName="BangTongQuanKhuVuc" ref="D3:G9" headerRowCount="1">
  <x:tableColumns count="4">
    <x:tableColumn id="1" name="Khu vực"/>
    <x:tableColumn id="2" name="Người tham gia"/>
    <x:tableColumn id="3" name="Rác tái chế (kg)"/>
    <x:tableColumn id="4" name="Chi phí"/>
  </x:tableColumns>
  <x:tableStyleInfo name="TableStyleMedium2" showRowStripes="1"/>
</x:table>
</file>

<file path=xl/tables/table3.xml><?xml version="1.0" encoding="utf-8"?>
<x:table xmlns:x="http://schemas.openxmlformats.org/spreadsheetml/2006/main" id="3" name="BangTongQuanHoatDong" displayName="BangTongQuanHoatDong" ref="A11:C16" headerRowCount="1">
  <x:tableColumns count="3">
    <x:tableColumn id="1" name="Hoạt động"/>
    <x:tableColumn id="2" name="Số buổi"/>
    <x:tableColumn id="3" name="Hài lòng TB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fb32ff0a634f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c033bc50a6945f5" /><Relationship Type="http://schemas.openxmlformats.org/officeDocument/2006/relationships/table" Target="/xl/tables/table2.xml" Id="R07cdf1413aac4904" /><Relationship Type="http://schemas.openxmlformats.org/officeDocument/2006/relationships/table" Target="/xl/tables/table3.xml" Id="R28fe5ef20a124838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3" hidden="0" customWidth="1"/>
    <x:col min="9" max="9" width="28" hidden="0" customWidth="1"/>
    <x:col min="10" max="10" width="15" hidden="0" customWidth="1"/>
    <x:col min="11" max="11" width="12" hidden="0" customWidth="1"/>
    <x:col min="12" max="12" width="16" hidden="0" customWidth="1"/>
  </x:cols>
  <x:sheetData>
    <x:row r="1" ht="28" customHeight="1">
      <x:c r="A1" s="5" t="str">
        <x:v>DỮ LIỆU CHIẾN DỊCH SỐNG XANH TRONG TRƯỜNG HỌC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4" t="str">
        <x:v>Ngày</x:v>
      </x:c>
      <x:c r="B2" s="14" t="str">
        <x:v>Khu vực</x:v>
      </x:c>
      <x:c r="C2" s="14" t="str">
        <x:v>Hoạt động</x:v>
      </x:c>
      <x:c r="D2" s="14" t="str">
        <x:v>Người phụ trách</x:v>
      </x:c>
      <x:c r="E2" s="14" t="str">
        <x:v>Số người tham gia</x:v>
      </x:c>
      <x:c r="F2" s="14" t="str">
        <x:v>Rác tái chế (kg)</x:v>
      </x:c>
      <x:c r="G2" s="14" t="str">
        <x:v>Chi phí (VND)</x:v>
      </x:c>
      <x:c r="H2" s="14" t="str">
        <x:v>Mức hài lòng</x:v>
      </x:c>
      <x:c r="I2" s="14" t="str">
        <x:v>Ghi chú</x:v>
      </x:c>
      <x:c r="J2" s="14" t="str">
        <x:v>Chi phí/người</x:v>
      </x:c>
      <x:c r="K2" s="14" t="str">
        <x:v>Kg/người</x:v>
      </x:c>
      <x:c r="L2" s="14" t="str">
        <x:v>Đánh giá</x:v>
      </x:c>
    </x:row>
    <x:row r="3">
      <x:c r="A3" s="22" t="n">
        <x:v>46143</x:v>
      </x:c>
      <x:c r="B3" s="20" t="str">
        <x:v>Ký túc xá</x:v>
      </x:c>
      <x:c r="C3" s="20" t="str">
        <x:v>Đổi rác lấy cây</x:v>
      </x:c>
      <x:c r="D3" s="20" t="str">
        <x:v>An</x:v>
      </x:c>
      <x:c r="E3" s="20" t="n">
        <x:v>32</x:v>
      </x:c>
      <x:c r="F3" s="26" t="n">
        <x:v>4.1</x:v>
      </x:c>
      <x:c r="G3" s="24" t="n">
        <x:v>450000</x:v>
      </x:c>
      <x:c r="H3" s="26" t="n">
        <x:v>4.6</x:v>
      </x:c>
      <x:c r="I3" s="20" t="str">
        <x:v>Hiệu quả cao</x:v>
      </x:c>
      <x:c r="J3" s="24" t="n">
        <x:f>G3/E3</x:f>
        <x:v>14062.5</x:v>
      </x:c>
      <x:c r="K3" s="28" t="n">
        <x:f>F3/E3</x:f>
        <x:v>0.128125</x:v>
      </x:c>
      <x:c r="L3" s="20" t="str">
        <x:f>IF(H3&gt;=4.5,"Rất tốt",IF(H3&gt;=4,"Tốt","Cần cải thiện"))</x:f>
        <x:v>Rất tốt</x:v>
      </x:c>
    </x:row>
    <x:row r="4">
      <x:c r="A4" s="22" t="n">
        <x:v>46144</x:v>
      </x:c>
      <x:c r="B4" s="20" t="str">
        <x:v>Căn tin</x:v>
      </x:c>
      <x:c r="C4" s="20" t="str">
        <x:v>Thu gom rác tái chế</x:v>
      </x:c>
      <x:c r="D4" s="20" t="str">
        <x:v>Minh</x:v>
      </x:c>
      <x:c r="E4" s="20" t="n">
        <x:v>87</x:v>
      </x:c>
      <x:c r="F4" s="26" t="n">
        <x:v>12.9</x:v>
      </x:c>
      <x:c r="G4" s="24" t="n">
        <x:v>300000</x:v>
      </x:c>
      <x:c r="H4" s="26" t="n">
        <x:v>3.7</x:v>
      </x:c>
      <x:c r="I4" s="20" t="str">
        <x:v>Nên tổ chức lại</x:v>
      </x:c>
      <x:c r="J4" s="24" t="n">
        <x:f>G4/E4</x:f>
        <x:v>3448.2758620689656</x:v>
      </x:c>
      <x:c r="K4" s="28" t="n">
        <x:f>F4/E4</x:f>
        <x:v>0.1482758620689655</x:v>
      </x:c>
      <x:c r="L4" s="20" t="str">
        <x:f>IF(H4&gt;=4.5,"Rất tốt",IF(H4&gt;=4,"Tốt","Cần cải thiện"))</x:f>
        <x:v>Cần cải thiện</x:v>
      </x:c>
    </x:row>
    <x:row r="5">
      <x:c r="A5" s="22" t="n">
        <x:v>46145</x:v>
      </x:c>
      <x:c r="B5" s="20" t="str">
        <x:v>Thư viện</x:v>
      </x:c>
      <x:c r="C5" s="20" t="str">
        <x:v>Workshop sống xanh</x:v>
      </x:c>
      <x:c r="D5" s="20" t="str">
        <x:v>Huy</x:v>
      </x:c>
      <x:c r="E5" s="20" t="n">
        <x:v>95</x:v>
      </x:c>
      <x:c r="F5" s="26" t="n">
        <x:v>12.2</x:v>
      </x:c>
      <x:c r="G5" s="24" t="n">
        <x:v>450000</x:v>
      </x:c>
      <x:c r="H5" s="26" t="n">
        <x:v>4.1</x:v>
      </x:c>
      <x:c r="I5" s="20" t="str">
        <x:v>Sinh viên tham gia tích cực</x:v>
      </x:c>
      <x:c r="J5" s="24" t="n">
        <x:f>G5/E5</x:f>
        <x:v>4736.8421052631575</x:v>
      </x:c>
      <x:c r="K5" s="28" t="n">
        <x:f>F5/E5</x:f>
        <x:v>0.12842105263157894</x:v>
      </x:c>
      <x:c r="L5" s="20" t="str">
        <x:f>IF(H5&gt;=4.5,"Rất tốt",IF(H5&gt;=4,"Tốt","Cần cải thiện"))</x:f>
        <x:v>Tốt</x:v>
      </x:c>
    </x:row>
    <x:row r="6">
      <x:c r="A6" s="22" t="n">
        <x:v>46146</x:v>
      </x:c>
      <x:c r="B6" s="20" t="str">
        <x:v>Thư viện</x:v>
      </x:c>
      <x:c r="C6" s="20" t="str">
        <x:v>Dọn vệ sinh khu vực</x:v>
      </x:c>
      <x:c r="D6" s="20" t="str">
        <x:v>Trang</x:v>
      </x:c>
      <x:c r="E6" s="20" t="n">
        <x:v>18</x:v>
      </x:c>
      <x:c r="F6" s="26" t="n">
        <x:v>6.7</x:v>
      </x:c>
      <x:c r="G6" s="24" t="n">
        <x:v>500000</x:v>
      </x:c>
      <x:c r="H6" s="26" t="n">
        <x:v>3.6</x:v>
      </x:c>
      <x:c r="I6" s="20" t="str">
        <x:v>Sinh viên tham gia tích cực</x:v>
      </x:c>
      <x:c r="J6" s="24" t="n">
        <x:f>G6/E6</x:f>
        <x:v>27777.777777777777</x:v>
      </x:c>
      <x:c r="K6" s="28" t="n">
        <x:f>F6/E6</x:f>
        <x:v>0.37222222222222223</x:v>
      </x:c>
      <x:c r="L6" s="20" t="str">
        <x:f>IF(H6&gt;=4.5,"Rất tốt",IF(H6&gt;=4,"Tốt","Cần cải thiện"))</x:f>
        <x:v>Cần cải thiện</x:v>
      </x:c>
    </x:row>
    <x:row r="7">
      <x:c r="A7" s="22" t="n">
        <x:v>46147</x:v>
      </x:c>
      <x:c r="B7" s="20" t="str">
        <x:v>Khoa CNTT</x:v>
      </x:c>
      <x:c r="C7" s="20" t="str">
        <x:v>Tuyên truyền phân loại rác</x:v>
      </x:c>
      <x:c r="D7" s="20" t="str">
        <x:v>Trang</x:v>
      </x:c>
      <x:c r="E7" s="20" t="n">
        <x:v>31</x:v>
      </x:c>
      <x:c r="F7" s="26" t="n">
        <x:v>4.7</x:v>
      </x:c>
      <x:c r="G7" s="24" t="n">
        <x:v>800000</x:v>
      </x:c>
      <x:c r="H7" s="26" t="n">
        <x:v>3.8</x:v>
      </x:c>
      <x:c r="I7" s="20" t="str">
        <x:v>Hoàn thành tốt</x:v>
      </x:c>
      <x:c r="J7" s="24" t="n">
        <x:f>G7/E7</x:f>
        <x:v>25806.451612903227</x:v>
      </x:c>
      <x:c r="K7" s="28" t="n">
        <x:f>F7/E7</x:f>
        <x:v>0.15161290322580645</x:v>
      </x:c>
      <x:c r="L7" s="20" t="str">
        <x:f>IF(H7&gt;=4.5,"Rất tốt",IF(H7&gt;=4,"Tốt","Cần cải thiện"))</x:f>
        <x:v>Cần cải thiện</x:v>
      </x:c>
    </x:row>
    <x:row r="8">
      <x:c r="A8" s="22" t="n">
        <x:v>46148</x:v>
      </x:c>
      <x:c r="B8" s="20" t="str">
        <x:v>Căn tin</x:v>
      </x:c>
      <x:c r="C8" s="20" t="str">
        <x:v>Thu gom rác tái chế</x:v>
      </x:c>
      <x:c r="D8" s="20" t="str">
        <x:v>Linh</x:v>
      </x:c>
      <x:c r="E8" s="20" t="n">
        <x:v>76</x:v>
      </x:c>
      <x:c r="F8" s="26" t="n">
        <x:v>22.6</x:v>
      </x:c>
      <x:c r="G8" s="24" t="n">
        <x:v>500000</x:v>
      </x:c>
      <x:c r="H8" s="26" t="n">
        <x:v>4.7</x:v>
      </x:c>
      <x:c r="I8" s="20" t="str">
        <x:v>Nên tổ chức lại</x:v>
      </x:c>
      <x:c r="J8" s="24" t="n">
        <x:f>G8/E8</x:f>
        <x:v>6578.9473684210525</x:v>
      </x:c>
      <x:c r="K8" s="28" t="n">
        <x:f>F8/E8</x:f>
        <x:v>0.2973684210526316</x:v>
      </x:c>
      <x:c r="L8" s="20" t="str">
        <x:f>IF(H8&gt;=4.5,"Rất tốt",IF(H8&gt;=4,"Tốt","Cần cải thiện"))</x:f>
        <x:v>Rất tốt</x:v>
      </x:c>
    </x:row>
    <x:row r="9">
      <x:c r="A9" s="22" t="n">
        <x:v>46149</x:v>
      </x:c>
      <x:c r="B9" s="20" t="str">
        <x:v>Phòng học A</x:v>
      </x:c>
      <x:c r="C9" s="20" t="str">
        <x:v>Thu gom rác tái chế</x:v>
      </x:c>
      <x:c r="D9" s="20" t="str">
        <x:v>Minh</x:v>
      </x:c>
      <x:c r="E9" s="20" t="n">
        <x:v>64</x:v>
      </x:c>
      <x:c r="F9" s="26" t="n">
        <x:v>19.9</x:v>
      </x:c>
      <x:c r="G9" s="24" t="n">
        <x:v>1000000</x:v>
      </x:c>
      <x:c r="H9" s="26" t="n">
        <x:v>3.8</x:v>
      </x:c>
      <x:c r="I9" s="20" t="str">
        <x:v>Sinh viên tham gia tích cực</x:v>
      </x:c>
      <x:c r="J9" s="24" t="n">
        <x:f>G9/E9</x:f>
        <x:v>15625</x:v>
      </x:c>
      <x:c r="K9" s="28" t="n">
        <x:f>F9/E9</x:f>
        <x:v>0.3109375</x:v>
      </x:c>
      <x:c r="L9" s="20" t="str">
        <x:f>IF(H9&gt;=4.5,"Rất tốt",IF(H9&gt;=4,"Tốt","Cần cải thiện"))</x:f>
        <x:v>Cần cải thiện</x:v>
      </x:c>
    </x:row>
    <x:row r="10">
      <x:c r="A10" s="22" t="n">
        <x:v>46150</x:v>
      </x:c>
      <x:c r="B10" s="20" t="str">
        <x:v>Khoa CNTT</x:v>
      </x:c>
      <x:c r="C10" s="20" t="str">
        <x:v>Dọn vệ sinh khu vực</x:v>
      </x:c>
      <x:c r="D10" s="20" t="str">
        <x:v>Trang</x:v>
      </x:c>
      <x:c r="E10" s="20" t="n">
        <x:v>28</x:v>
      </x:c>
      <x:c r="F10" s="26" t="n">
        <x:v>11.3</x:v>
      </x:c>
      <x:c r="G10" s="24" t="n">
        <x:v>650000</x:v>
      </x:c>
      <x:c r="H10" s="26" t="n">
        <x:v>4.4</x:v>
      </x:c>
      <x:c r="I10" s="20" t="str">
        <x:v>Sinh viên tham gia tích cực</x:v>
      </x:c>
      <x:c r="J10" s="24" t="n">
        <x:f>G10/E10</x:f>
        <x:v>23214.285714285714</x:v>
      </x:c>
      <x:c r="K10" s="28" t="n">
        <x:f>F10/E10</x:f>
        <x:v>0.4035714285714286</x:v>
      </x:c>
      <x:c r="L10" s="20" t="str">
        <x:f>IF(H10&gt;=4.5,"Rất tốt",IF(H10&gt;=4,"Tốt","Cần cải thiện"))</x:f>
        <x:v>Tốt</x:v>
      </x:c>
    </x:row>
    <x:row r="11">
      <x:c r="A11" s="22" t="n">
        <x:v>46151</x:v>
      </x:c>
      <x:c r="B11" s="20" t="str">
        <x:v>Thư viện</x:v>
      </x:c>
      <x:c r="C11" s="20" t="str">
        <x:v>Tuyên truyền phân loại rác</x:v>
      </x:c>
      <x:c r="D11" s="20" t="str">
        <x:v>Phúc</x:v>
      </x:c>
      <x:c r="E11" s="20" t="n">
        <x:v>38</x:v>
      </x:c>
      <x:c r="F11" s="26" t="n">
        <x:v>9.2</x:v>
      </x:c>
      <x:c r="G11" s="24" t="n">
        <x:v>1000000</x:v>
      </x:c>
      <x:c r="H11" s="26" t="n">
        <x:v>4.4</x:v>
      </x:c>
      <x:c r="I11" s="20" t="str">
        <x:v>Nên tổ chức lại</x:v>
      </x:c>
      <x:c r="J11" s="24" t="n">
        <x:f>G11/E11</x:f>
        <x:v>26315.78947368421</x:v>
      </x:c>
      <x:c r="K11" s="28" t="n">
        <x:f>F11/E11</x:f>
        <x:v>0.2421052631578947</x:v>
      </x:c>
      <x:c r="L11" s="20" t="str">
        <x:f>IF(H11&gt;=4.5,"Rất tốt",IF(H11&gt;=4,"Tốt","Cần cải thiện"))</x:f>
        <x:v>Tốt</x:v>
      </x:c>
    </x:row>
    <x:row r="12">
      <x:c r="A12" s="22" t="n">
        <x:v>46152</x:v>
      </x:c>
      <x:c r="B12" s="20" t="str">
        <x:v>Thư viện</x:v>
      </x:c>
      <x:c r="C12" s="20" t="str">
        <x:v>Đổi rác lấy cây</x:v>
      </x:c>
      <x:c r="D12" s="20" t="str">
        <x:v>Huy</x:v>
      </x:c>
      <x:c r="E12" s="20" t="n">
        <x:v>39</x:v>
      </x:c>
      <x:c r="F12" s="26" t="n">
        <x:v>11.6</x:v>
      </x:c>
      <x:c r="G12" s="24" t="n">
        <x:v>650000</x:v>
      </x:c>
      <x:c r="H12" s="26" t="n">
        <x:v>3.8</x:v>
      </x:c>
      <x:c r="I12" s="20" t="str">
        <x:v>Hiệu quả cao</x:v>
      </x:c>
      <x:c r="J12" s="24" t="n">
        <x:f>G12/E12</x:f>
        <x:v>16666.666666666668</x:v>
      </x:c>
      <x:c r="K12" s="28" t="n">
        <x:f>F12/E12</x:f>
        <x:v>0.29743589743589743</x:v>
      </x:c>
      <x:c r="L12" s="20" t="str">
        <x:f>IF(H12&gt;=4.5,"Rất tốt",IF(H12&gt;=4,"Tốt","Cần cải thiện"))</x:f>
        <x:v>Cần cải thiện</x:v>
      </x:c>
    </x:row>
    <x:row r="13">
      <x:c r="A13" s="22" t="n">
        <x:v>46153</x:v>
      </x:c>
      <x:c r="B13" s="20" t="str">
        <x:v>Ký túc xá</x:v>
      </x:c>
      <x:c r="C13" s="20" t="str">
        <x:v>Thu gom rác tái chế</x:v>
      </x:c>
      <x:c r="D13" s="20" t="str">
        <x:v>An</x:v>
      </x:c>
      <x:c r="E13" s="20" t="n">
        <x:v>89</x:v>
      </x:c>
      <x:c r="F13" s="26" t="n">
        <x:v>17.1</x:v>
      </x:c>
      <x:c r="G13" s="24" t="n">
        <x:v>1200000</x:v>
      </x:c>
      <x:c r="H13" s="26" t="n">
        <x:v>3.5</x:v>
      </x:c>
      <x:c r="I13" s="20" t="str">
        <x:v>Sinh viên tham gia tích cực</x:v>
      </x:c>
      <x:c r="J13" s="24" t="n">
        <x:f>G13/E13</x:f>
        <x:v>13483.14606741573</x:v>
      </x:c>
      <x:c r="K13" s="28" t="n">
        <x:f>F13/E13</x:f>
        <x:v>0.19213483146067417</x:v>
      </x:c>
      <x:c r="L13" s="20" t="str">
        <x:f>IF(H13&gt;=4.5,"Rất tốt",IF(H13&gt;=4,"Tốt","Cần cải thiện"))</x:f>
        <x:v>Cần cải thiện</x:v>
      </x:c>
    </x:row>
    <x:row r="14">
      <x:c r="A14" s="22" t="n">
        <x:v>46154</x:v>
      </x:c>
      <x:c r="B14" s="20" t="str">
        <x:v>Thư viện</x:v>
      </x:c>
      <x:c r="C14" s="20" t="str">
        <x:v>Workshop sống xanh</x:v>
      </x:c>
      <x:c r="D14" s="20" t="str">
        <x:v>Phúc</x:v>
      </x:c>
      <x:c r="E14" s="20" t="n">
        <x:v>69</x:v>
      </x:c>
      <x:c r="F14" s="26" t="n">
        <x:v>14.4</x:v>
      </x:c>
      <x:c r="G14" s="24" t="n">
        <x:v>500000</x:v>
      </x:c>
      <x:c r="H14" s="26" t="n">
        <x:v>3.7</x:v>
      </x:c>
      <x:c r="I14" s="20" t="str">
        <x:v>Thiếu vật tư</x:v>
      </x:c>
      <x:c r="J14" s="24" t="n">
        <x:f>G14/E14</x:f>
        <x:v>7246.376811594203</x:v>
      </x:c>
      <x:c r="K14" s="28" t="n">
        <x:f>F14/E14</x:f>
        <x:v>0.20869565217391306</x:v>
      </x:c>
      <x:c r="L14" s="20" t="str">
        <x:f>IF(H14&gt;=4.5,"Rất tốt",IF(H14&gt;=4,"Tốt","Cần cải thiện"))</x:f>
        <x:v>Cần cải thiện</x:v>
      </x:c>
    </x:row>
    <x:row r="15">
      <x:c r="A15" s="22" t="n">
        <x:v>46155</x:v>
      </x:c>
      <x:c r="B15" s="20" t="str">
        <x:v>Phòng học A</x:v>
      </x:c>
      <x:c r="C15" s="20" t="str">
        <x:v>Dọn vệ sinh khu vực</x:v>
      </x:c>
      <x:c r="D15" s="20" t="str">
        <x:v>An</x:v>
      </x:c>
      <x:c r="E15" s="20" t="n">
        <x:v>68</x:v>
      </x:c>
      <x:c r="F15" s="26" t="n">
        <x:v>28</x:v>
      </x:c>
      <x:c r="G15" s="24" t="n">
        <x:v>500000</x:v>
      </x:c>
      <x:c r="H15" s="26" t="n">
        <x:v>3.6</x:v>
      </x:c>
      <x:c r="I15" s="20" t="str">
        <x:v>Hiệu quả cao</x:v>
      </x:c>
      <x:c r="J15" s="24" t="n">
        <x:f>G15/E15</x:f>
        <x:v>7352.941176470588</x:v>
      </x:c>
      <x:c r="K15" s="28" t="n">
        <x:f>F15/E15</x:f>
        <x:v>0.4117647058823529</x:v>
      </x:c>
      <x:c r="L15" s="20" t="str">
        <x:f>IF(H15&gt;=4.5,"Rất tốt",IF(H15&gt;=4,"Tốt","Cần cải thiện"))</x:f>
        <x:v>Cần cải thiện</x:v>
      </x:c>
    </x:row>
    <x:row r="16">
      <x:c r="A16" s="22" t="n">
        <x:v>46156</x:v>
      </x:c>
      <x:c r="B16" s="20" t="str">
        <x:v>Phòng học A</x:v>
      </x:c>
      <x:c r="C16" s="20" t="str">
        <x:v>Workshop sống xanh</x:v>
      </x:c>
      <x:c r="D16" s="20" t="str">
        <x:v>Huy</x:v>
      </x:c>
      <x:c r="E16" s="20" t="n">
        <x:v>89</x:v>
      </x:c>
      <x:c r="F16" s="26" t="n">
        <x:v>26.5</x:v>
      </x:c>
      <x:c r="G16" s="24" t="n">
        <x:v>800000</x:v>
      </x:c>
      <x:c r="H16" s="26" t="n">
        <x:v>4</x:v>
      </x:c>
      <x:c r="I16" s="20" t="str">
        <x:v>Cần thêm thùng phân loại</x:v>
      </x:c>
      <x:c r="J16" s="24" t="n">
        <x:f>G16/E16</x:f>
        <x:v>8988.76404494382</x:v>
      </x:c>
      <x:c r="K16" s="28" t="n">
        <x:f>F16/E16</x:f>
        <x:v>0.29775280898876405</x:v>
      </x:c>
      <x:c r="L16" s="20" t="str">
        <x:f>IF(H16&gt;=4.5,"Rất tốt",IF(H16&gt;=4,"Tốt","Cần cải thiện"))</x:f>
        <x:v>Tốt</x:v>
      </x:c>
    </x:row>
    <x:row r="17">
      <x:c r="A17" s="22" t="n">
        <x:v>46157</x:v>
      </x:c>
      <x:c r="B17" s="20" t="str">
        <x:v>Khoa CNTT</x:v>
      </x:c>
      <x:c r="C17" s="20" t="str">
        <x:v>Thu gom rác tái chế</x:v>
      </x:c>
      <x:c r="D17" s="20" t="str">
        <x:v>Minh</x:v>
      </x:c>
      <x:c r="E17" s="20" t="n">
        <x:v>35</x:v>
      </x:c>
      <x:c r="F17" s="26" t="n">
        <x:v>10.1</x:v>
      </x:c>
      <x:c r="G17" s="24" t="n">
        <x:v>450000</x:v>
      </x:c>
      <x:c r="H17" s="26" t="n">
        <x:v>4.4</x:v>
      </x:c>
      <x:c r="I17" s="20" t="str">
        <x:v>Hiệu quả cao</x:v>
      </x:c>
      <x:c r="J17" s="24" t="n">
        <x:f>G17/E17</x:f>
        <x:v>12857.142857142857</x:v>
      </x:c>
      <x:c r="K17" s="28" t="n">
        <x:f>F17/E17</x:f>
        <x:v>0.28857142857142853</x:v>
      </x:c>
      <x:c r="L17" s="20" t="str">
        <x:f>IF(H17&gt;=4.5,"Rất tốt",IF(H17&gt;=4,"Tốt","Cần cải thiện"))</x:f>
        <x:v>Tốt</x:v>
      </x:c>
    </x:row>
    <x:row r="18">
      <x:c r="A18" s="22" t="n">
        <x:v>46158</x:v>
      </x:c>
      <x:c r="B18" s="20" t="str">
        <x:v>Căn tin</x:v>
      </x:c>
      <x:c r="C18" s="20" t="str">
        <x:v>Dọn vệ sinh khu vực</x:v>
      </x:c>
      <x:c r="D18" s="20" t="str">
        <x:v>Linh</x:v>
      </x:c>
      <x:c r="E18" s="20" t="n">
        <x:v>72</x:v>
      </x:c>
      <x:c r="F18" s="26" t="n">
        <x:v>22.8</x:v>
      </x:c>
      <x:c r="G18" s="24" t="n">
        <x:v>650000</x:v>
      </x:c>
      <x:c r="H18" s="26" t="n">
        <x:v>4.2</x:v>
      </x:c>
      <x:c r="I18" s="20" t="str">
        <x:v>Nên tổ chức lại</x:v>
      </x:c>
      <x:c r="J18" s="24" t="n">
        <x:f>G18/E18</x:f>
        <x:v>9027.777777777777</x:v>
      </x:c>
      <x:c r="K18" s="28" t="n">
        <x:f>F18/E18</x:f>
        <x:v>0.31666666666666665</x:v>
      </x:c>
      <x:c r="L18" s="20" t="str">
        <x:f>IF(H18&gt;=4.5,"Rất tốt",IF(H18&gt;=4,"Tốt","Cần cải thiện"))</x:f>
        <x:v>Tốt</x:v>
      </x:c>
    </x:row>
    <x:row r="19">
      <x:c r="A19" s="22" t="n">
        <x:v>46159</x:v>
      </x:c>
      <x:c r="B19" s="20" t="str">
        <x:v>Khoa CNTT</x:v>
      </x:c>
      <x:c r="C19" s="20" t="str">
        <x:v>Workshop sống xanh</x:v>
      </x:c>
      <x:c r="D19" s="20" t="str">
        <x:v>Trang</x:v>
      </x:c>
      <x:c r="E19" s="20" t="n">
        <x:v>19</x:v>
      </x:c>
      <x:c r="F19" s="26" t="n">
        <x:v>6.5</x:v>
      </x:c>
      <x:c r="G19" s="24" t="n">
        <x:v>1200000</x:v>
      </x:c>
      <x:c r="H19" s="26" t="n">
        <x:v>4.4</x:v>
      </x:c>
      <x:c r="I19" s="20" t="str">
        <x:v>Hoàn thành tốt</x:v>
      </x:c>
      <x:c r="J19" s="24" t="n">
        <x:f>G19/E19</x:f>
        <x:v>63157.89473684211</x:v>
      </x:c>
      <x:c r="K19" s="28" t="n">
        <x:f>F19/E19</x:f>
        <x:v>0.34210526315789475</x:v>
      </x:c>
      <x:c r="L19" s="20" t="str">
        <x:f>IF(H19&gt;=4.5,"Rất tốt",IF(H19&gt;=4,"Tốt","Cần cải thiện"))</x:f>
        <x:v>Tốt</x:v>
      </x:c>
    </x:row>
    <x:row r="20">
      <x:c r="A20" s="22" t="n">
        <x:v>46160</x:v>
      </x:c>
      <x:c r="B20" s="20" t="str">
        <x:v>Căn tin</x:v>
      </x:c>
      <x:c r="C20" s="20" t="str">
        <x:v>Thu gom rác tái chế</x:v>
      </x:c>
      <x:c r="D20" s="20" t="str">
        <x:v>Phúc</x:v>
      </x:c>
      <x:c r="E20" s="20" t="n">
        <x:v>55</x:v>
      </x:c>
      <x:c r="F20" s="26" t="n">
        <x:v>14.5</x:v>
      </x:c>
      <x:c r="G20" s="24" t="n">
        <x:v>1000000</x:v>
      </x:c>
      <x:c r="H20" s="26" t="n">
        <x:v>3.8</x:v>
      </x:c>
      <x:c r="I20" s="20" t="str">
        <x:v>Nên tổ chức lại</x:v>
      </x:c>
      <x:c r="J20" s="24" t="n">
        <x:f>G20/E20</x:f>
        <x:v>18181.81818181818</x:v>
      </x:c>
      <x:c r="K20" s="28" t="n">
        <x:f>F20/E20</x:f>
        <x:v>0.2636363636363636</x:v>
      </x:c>
      <x:c r="L20" s="20" t="str">
        <x:f>IF(H20&gt;=4.5,"Rất tốt",IF(H20&gt;=4,"Tốt","Cần cải thiện"))</x:f>
        <x:v>Cần cải thiện</x:v>
      </x:c>
    </x:row>
    <x:row r="21">
      <x:c r="A21" s="22" t="n">
        <x:v>46161</x:v>
      </x:c>
      <x:c r="B21" s="20" t="str">
        <x:v>Khoa CNTT</x:v>
      </x:c>
      <x:c r="C21" s="20" t="str">
        <x:v>Tuyên truyền phân loại rác</x:v>
      </x:c>
      <x:c r="D21" s="20" t="str">
        <x:v>Phúc</x:v>
      </x:c>
      <x:c r="E21" s="20" t="n">
        <x:v>40</x:v>
      </x:c>
      <x:c r="F21" s="26" t="n">
        <x:v>11.5</x:v>
      </x:c>
      <x:c r="G21" s="24" t="n">
        <x:v>800000</x:v>
      </x:c>
      <x:c r="H21" s="26" t="n">
        <x:v>4.4</x:v>
      </x:c>
      <x:c r="I21" s="20" t="str">
        <x:v>Cần thêm thùng phân loại</x:v>
      </x:c>
      <x:c r="J21" s="24" t="n">
        <x:f>G21/E21</x:f>
        <x:v>20000</x:v>
      </x:c>
      <x:c r="K21" s="28" t="n">
        <x:f>F21/E21</x:f>
        <x:v>0.2875</x:v>
      </x:c>
      <x:c r="L21" s="20" t="str">
        <x:f>IF(H21&gt;=4.5,"Rất tốt",IF(H21&gt;=4,"Tốt","Cần cải thiện"))</x:f>
        <x:v>Tốt</x:v>
      </x:c>
    </x:row>
    <x:row r="22">
      <x:c r="A22" s="22" t="n">
        <x:v>46162</x:v>
      </x:c>
      <x:c r="B22" s="20" t="str">
        <x:v>Sân trường</x:v>
      </x:c>
      <x:c r="C22" s="20" t="str">
        <x:v>Workshop sống xanh</x:v>
      </x:c>
      <x:c r="D22" s="20" t="str">
        <x:v>Minh</x:v>
      </x:c>
      <x:c r="E22" s="20" t="n">
        <x:v>65</x:v>
      </x:c>
      <x:c r="F22" s="26" t="n">
        <x:v>24.2</x:v>
      </x:c>
      <x:c r="G22" s="24" t="n">
        <x:v>800000</x:v>
      </x:c>
      <x:c r="H22" s="26" t="n">
        <x:v>3.9</x:v>
      </x:c>
      <x:c r="I22" s="20" t="str">
        <x:v>Hoàn thành tốt</x:v>
      </x:c>
      <x:c r="J22" s="24" t="n">
        <x:f>G22/E22</x:f>
        <x:v>12307.692307692309</x:v>
      </x:c>
      <x:c r="K22" s="28" t="n">
        <x:f>F22/E22</x:f>
        <x:v>0.3723076923076923</x:v>
      </x:c>
      <x:c r="L22" s="20" t="str">
        <x:f>IF(H22&gt;=4.5,"Rất tốt",IF(H22&gt;=4,"Tốt","Cần cải thiện"))</x:f>
        <x:v>Cần cải thiện</x:v>
      </x:c>
    </x:row>
    <x:row r="23">
      <x:c r="A23" s="22" t="n">
        <x:v>46163</x:v>
      </x:c>
      <x:c r="B23" s="20" t="str">
        <x:v>Ký túc xá</x:v>
      </x:c>
      <x:c r="C23" s="20" t="str">
        <x:v>Đổi rác lấy cây</x:v>
      </x:c>
      <x:c r="D23" s="20" t="str">
        <x:v>Minh</x:v>
      </x:c>
      <x:c r="E23" s="20" t="n">
        <x:v>32</x:v>
      </x:c>
      <x:c r="F23" s="26" t="n">
        <x:v>13.7</x:v>
      </x:c>
      <x:c r="G23" s="24" t="n">
        <x:v>450000</x:v>
      </x:c>
      <x:c r="H23" s="26" t="n">
        <x:v>4.8</x:v>
      </x:c>
      <x:c r="I23" s="20" t="str">
        <x:v>Hoàn thành tốt</x:v>
      </x:c>
      <x:c r="J23" s="24" t="n">
        <x:f>G23/E23</x:f>
        <x:v>14062.5</x:v>
      </x:c>
      <x:c r="K23" s="28" t="n">
        <x:f>F23/E23</x:f>
        <x:v>0.428125</x:v>
      </x:c>
      <x:c r="L23" s="20" t="str">
        <x:f>IF(H23&gt;=4.5,"Rất tốt",IF(H23&gt;=4,"Tốt","Cần cải thiện"))</x:f>
        <x:v>Rất tốt</x:v>
      </x:c>
    </x:row>
    <x:row r="24">
      <x:c r="A24" s="22" t="n">
        <x:v>46164</x:v>
      </x:c>
      <x:c r="B24" s="20" t="str">
        <x:v>Khoa CNTT</x:v>
      </x:c>
      <x:c r="C24" s="20" t="str">
        <x:v>Workshop sống xanh</x:v>
      </x:c>
      <x:c r="D24" s="20" t="str">
        <x:v>An</x:v>
      </x:c>
      <x:c r="E24" s="20" t="n">
        <x:v>28</x:v>
      </x:c>
      <x:c r="F24" s="26" t="n">
        <x:v>10.1</x:v>
      </x:c>
      <x:c r="G24" s="24" t="n">
        <x:v>450000</x:v>
      </x:c>
      <x:c r="H24" s="26" t="n">
        <x:v>4.5</x:v>
      </x:c>
      <x:c r="I24" s="20" t="str">
        <x:v>Nên tổ chức lại</x:v>
      </x:c>
      <x:c r="J24" s="24" t="n">
        <x:f>G24/E24</x:f>
        <x:v>16071.42857142857</x:v>
      </x:c>
      <x:c r="K24" s="28" t="n">
        <x:f>F24/E24</x:f>
        <x:v>0.3607142857142857</x:v>
      </x:c>
      <x:c r="L24" s="20" t="str">
        <x:f>IF(H24&gt;=4.5,"Rất tốt",IF(H24&gt;=4,"Tốt","Cần cải thiện"))</x:f>
        <x:v>Rất tốt</x:v>
      </x:c>
    </x:row>
    <x:row r="25">
      <x:c r="A25" s="22" t="n">
        <x:v>46165</x:v>
      </x:c>
      <x:c r="B25" s="20" t="str">
        <x:v>Sân trường</x:v>
      </x:c>
      <x:c r="C25" s="20" t="str">
        <x:v>Dọn vệ sinh khu vực</x:v>
      </x:c>
      <x:c r="D25" s="20" t="str">
        <x:v>An</x:v>
      </x:c>
      <x:c r="E25" s="20" t="n">
        <x:v>39</x:v>
      </x:c>
      <x:c r="F25" s="26" t="n">
        <x:v>8.1</x:v>
      </x:c>
      <x:c r="G25" s="24" t="n">
        <x:v>800000</x:v>
      </x:c>
      <x:c r="H25" s="26" t="n">
        <x:v>4.6</x:v>
      </x:c>
      <x:c r="I25" s="20" t="str">
        <x:v>Hiệu quả cao</x:v>
      </x:c>
      <x:c r="J25" s="24" t="n">
        <x:f>G25/E25</x:f>
        <x:v>20512.82051282051</x:v>
      </x:c>
      <x:c r="K25" s="28" t="n">
        <x:f>F25/E25</x:f>
        <x:v>0.20769230769230768</x:v>
      </x:c>
      <x:c r="L25" s="20" t="str">
        <x:f>IF(H25&gt;=4.5,"Rất tốt",IF(H25&gt;=4,"Tốt","Cần cải thiện"))</x:f>
        <x:v>Rất tốt</x:v>
      </x:c>
    </x:row>
    <x:row r="26">
      <x:c r="A26" s="22" t="n">
        <x:v>46166</x:v>
      </x:c>
      <x:c r="B26" s="20" t="str">
        <x:v>Căn tin</x:v>
      </x:c>
      <x:c r="C26" s="20" t="str">
        <x:v>Tuyên truyền phân loại rác</x:v>
      </x:c>
      <x:c r="D26" s="20" t="str">
        <x:v>Huy</x:v>
      </x:c>
      <x:c r="E26" s="20" t="n">
        <x:v>43</x:v>
      </x:c>
      <x:c r="F26" s="26" t="n">
        <x:v>15.3</x:v>
      </x:c>
      <x:c r="G26" s="24" t="n">
        <x:v>800000</x:v>
      </x:c>
      <x:c r="H26" s="26" t="n">
        <x:v>4.1</x:v>
      </x:c>
      <x:c r="I26" s="20" t="str">
        <x:v>Cần thêm thùng phân loại</x:v>
      </x:c>
      <x:c r="J26" s="24" t="n">
        <x:f>G26/E26</x:f>
        <x:v>18604.6511627907</x:v>
      </x:c>
      <x:c r="K26" s="28" t="n">
        <x:f>F26/E26</x:f>
        <x:v>0.35581395348837214</x:v>
      </x:c>
      <x:c r="L26" s="20" t="str">
        <x:f>IF(H26&gt;=4.5,"Rất tốt",IF(H26&gt;=4,"Tốt","Cần cải thiện"))</x:f>
        <x:v>Tốt</x:v>
      </x:c>
    </x:row>
    <x:row r="27">
      <x:c r="A27" s="22" t="n">
        <x:v>46167</x:v>
      </x:c>
      <x:c r="B27" s="20" t="str">
        <x:v>Khoa CNTT</x:v>
      </x:c>
      <x:c r="C27" s="20" t="str">
        <x:v>Workshop sống xanh</x:v>
      </x:c>
      <x:c r="D27" s="20" t="str">
        <x:v>Linh</x:v>
      </x:c>
      <x:c r="E27" s="20" t="n">
        <x:v>46</x:v>
      </x:c>
      <x:c r="F27" s="26" t="n">
        <x:v>6.5</x:v>
      </x:c>
      <x:c r="G27" s="24" t="n">
        <x:v>450000</x:v>
      </x:c>
      <x:c r="H27" s="26" t="n">
        <x:v>4.3</x:v>
      </x:c>
      <x:c r="I27" s="20" t="str">
        <x:v>Hoàn thành tốt</x:v>
      </x:c>
      <x:c r="J27" s="24" t="n">
        <x:f>G27/E27</x:f>
        <x:v>9782.608695652174</x:v>
      </x:c>
      <x:c r="K27" s="28" t="n">
        <x:f>F27/E27</x:f>
        <x:v>0.14130434782608695</x:v>
      </x:c>
      <x:c r="L27" s="20" t="str">
        <x:f>IF(H27&gt;=4.5,"Rất tốt",IF(H27&gt;=4,"Tốt","Cần cải thiện"))</x:f>
        <x:v>Tốt</x:v>
      </x:c>
    </x:row>
    <x:row r="28">
      <x:c r="A28" s="22" t="n">
        <x:v>46168</x:v>
      </x:c>
      <x:c r="B28" s="20" t="str">
        <x:v>Khoa CNTT</x:v>
      </x:c>
      <x:c r="C28" s="20" t="str">
        <x:v>Đổi rác lấy cây</x:v>
      </x:c>
      <x:c r="D28" s="20" t="str">
        <x:v>Minh</x:v>
      </x:c>
      <x:c r="E28" s="20" t="n">
        <x:v>27</x:v>
      </x:c>
      <x:c r="F28" s="26" t="n">
        <x:v>9.5</x:v>
      </x:c>
      <x:c r="G28" s="24" t="n">
        <x:v>300000</x:v>
      </x:c>
      <x:c r="H28" s="26" t="n">
        <x:v>4.8</x:v>
      </x:c>
      <x:c r="I28" s="20" t="str">
        <x:v>Hoàn thành tốt</x:v>
      </x:c>
      <x:c r="J28" s="24" t="n">
        <x:f>G28/E28</x:f>
        <x:v>11111.111111111111</x:v>
      </x:c>
      <x:c r="K28" s="28" t="n">
        <x:f>F28/E28</x:f>
        <x:v>0.35185185185185186</x:v>
      </x:c>
      <x:c r="L28" s="20" t="str">
        <x:f>IF(H28&gt;=4.5,"Rất tốt",IF(H28&gt;=4,"Tốt","Cần cải thiện"))</x:f>
        <x:v>Rất tốt</x:v>
      </x:c>
    </x:row>
    <x:row r="29">
      <x:c r="A29" s="22" t="n">
        <x:v>46169</x:v>
      </x:c>
      <x:c r="B29" s="20" t="str">
        <x:v>Phòng học A</x:v>
      </x:c>
      <x:c r="C29" s="20" t="str">
        <x:v>Dọn vệ sinh khu vực</x:v>
      </x:c>
      <x:c r="D29" s="20" t="str">
        <x:v>An</x:v>
      </x:c>
      <x:c r="E29" s="20" t="n">
        <x:v>83</x:v>
      </x:c>
      <x:c r="F29" s="26" t="n">
        <x:v>16.5</x:v>
      </x:c>
      <x:c r="G29" s="24" t="n">
        <x:v>800000</x:v>
      </x:c>
      <x:c r="H29" s="26" t="n">
        <x:v>3.6</x:v>
      </x:c>
      <x:c r="I29" s="20" t="str">
        <x:v>Nên tổ chức lại</x:v>
      </x:c>
      <x:c r="J29" s="24" t="n">
        <x:f>G29/E29</x:f>
        <x:v>9638.55421686747</x:v>
      </x:c>
      <x:c r="K29" s="28" t="n">
        <x:f>F29/E29</x:f>
        <x:v>0.19879518072289157</x:v>
      </x:c>
      <x:c r="L29" s="20" t="str">
        <x:f>IF(H29&gt;=4.5,"Rất tốt",IF(H29&gt;=4,"Tốt","Cần cải thiện"))</x:f>
        <x:v>Cần cải thiện</x:v>
      </x:c>
    </x:row>
    <x:row r="30">
      <x:c r="A30" s="22" t="n">
        <x:v>46170</x:v>
      </x:c>
      <x:c r="B30" s="20" t="str">
        <x:v>Căn tin</x:v>
      </x:c>
      <x:c r="C30" s="20" t="str">
        <x:v>Dọn vệ sinh khu vực</x:v>
      </x:c>
      <x:c r="D30" s="20" t="str">
        <x:v>An</x:v>
      </x:c>
      <x:c r="E30" s="20" t="n">
        <x:v>91</x:v>
      </x:c>
      <x:c r="F30" s="26" t="n">
        <x:v>25.1</x:v>
      </x:c>
      <x:c r="G30" s="24" t="n">
        <x:v>300000</x:v>
      </x:c>
      <x:c r="H30" s="26" t="n">
        <x:v>3.6</x:v>
      </x:c>
      <x:c r="I30" s="20" t="str">
        <x:v>Thiếu vật tư</x:v>
      </x:c>
      <x:c r="J30" s="24" t="n">
        <x:f>G30/E30</x:f>
        <x:v>3296.703296703297</x:v>
      </x:c>
      <x:c r="K30" s="28" t="n">
        <x:f>F30/E30</x:f>
        <x:v>0.27582417582417584</x:v>
      </x:c>
      <x:c r="L30" s="20" t="str">
        <x:f>IF(H30&gt;=4.5,"Rất tốt",IF(H30&gt;=4,"Tốt","Cần cải thiện"))</x:f>
        <x:v>Cần cải thiện</x:v>
      </x:c>
    </x:row>
    <x:row r="31">
      <x:c r="A31" s="22" t="n">
        <x:v>46171</x:v>
      </x:c>
      <x:c r="B31" s="20" t="str">
        <x:v>Căn tin</x:v>
      </x:c>
      <x:c r="C31" s="20" t="str">
        <x:v>Thu gom rác tái chế</x:v>
      </x:c>
      <x:c r="D31" s="20" t="str">
        <x:v>Phúc</x:v>
      </x:c>
      <x:c r="E31" s="20" t="n">
        <x:v>63</x:v>
      </x:c>
      <x:c r="F31" s="26" t="n">
        <x:v>16.4</x:v>
      </x:c>
      <x:c r="G31" s="24" t="n">
        <x:v>1000000</x:v>
      </x:c>
      <x:c r="H31" s="26" t="n">
        <x:v>5</x:v>
      </x:c>
      <x:c r="I31" s="20" t="str">
        <x:v>Hoàn thành tốt</x:v>
      </x:c>
      <x:c r="J31" s="24" t="n">
        <x:f>G31/E31</x:f>
        <x:v>15873.015873015873</x:v>
      </x:c>
      <x:c r="K31" s="28" t="n">
        <x:f>F31/E31</x:f>
        <x:v>0.2603174603174603</x:v>
      </x:c>
      <x:c r="L31" s="20" t="str">
        <x:f>IF(H31&gt;=4.5,"Rất tốt",IF(H31&gt;=4,"Tốt","Cần cải thiện"))</x:f>
        <x:v>Rất tốt</x:v>
      </x:c>
    </x:row>
    <x:row r="32">
      <x:c r="A32" s="22" t="n">
        <x:v>46172</x:v>
      </x:c>
      <x:c r="B32" s="20" t="str">
        <x:v>Ký túc xá</x:v>
      </x:c>
      <x:c r="C32" s="20" t="str">
        <x:v>Thu gom rác tái chế</x:v>
      </x:c>
      <x:c r="D32" s="20" t="str">
        <x:v>An</x:v>
      </x:c>
      <x:c r="E32" s="20" t="n">
        <x:v>25</x:v>
      </x:c>
      <x:c r="F32" s="26" t="n">
        <x:v>6.3</x:v>
      </x:c>
      <x:c r="G32" s="24" t="n">
        <x:v>450000</x:v>
      </x:c>
      <x:c r="H32" s="26" t="n">
        <x:v>3.7</x:v>
      </x:c>
      <x:c r="I32" s="20" t="str">
        <x:v>Thiếu vật tư</x:v>
      </x:c>
      <x:c r="J32" s="24" t="n">
        <x:f>G32/E32</x:f>
        <x:v>18000</x:v>
      </x:c>
      <x:c r="K32" s="28" t="n">
        <x:f>F32/E32</x:f>
        <x:v>0.252</x:v>
      </x:c>
      <x:c r="L32" s="20" t="str">
        <x:f>IF(H32&gt;=4.5,"Rất tốt",IF(H32&gt;=4,"Tốt","Cần cải thiện"))</x:f>
        <x:v>Cần cải thiện</x:v>
      </x:c>
    </x:row>
  </x:sheetData>
  <x:mergeCells>
    <x:mergeCell ref="A1:I1"/>
  </x:mergeCells>
  <x:conditionalFormatting sqref="H3:H32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F3:F32">
    <x:cfRule type="dataBar" priority="2">
      <x:dataBar>
        <x:cfvo type="min"/>
        <x:cfvo type="max"/>
        <x:color rgb="16A34A"/>
      </x:dataBar>
      <x:extLst>
        <x:ext xmlns:x14="http://schemas.microsoft.com/office/spreadsheetml/2009/9/main" uri="{B025F937-C7B1-47D3-B67F-A62EFF666E3E}">
          <x14:id>{53D0EFB0-765F-A32E-C069-E1B1D7B60A17}</x14:id>
        </x:ext>
      </x:extLst>
    </x:cfRule>
  </x:conditionalFormatting>
  <x:conditionalFormatting sqref="L3:L32">
    <x:cfRule type="expression" dxfId="0" priority="3">
      <x:formula>L3="Cần cải thiện"</x:formula>
    </x:cfRule>
  </x:conditionalFormatting>
  <x:dataValidations count="3">
    <x:dataValidation type="list" sqref="B3:B32">
      <x:formula1>"Khoa CNTT,Thư viện,Ký túc xá,Căn tin,Sân trường,Phòng học A"</x:formula1>
    </x:dataValidation>
    <x:dataValidation type="list" sqref="C3:C32">
      <x:formula1>"Thu gom rác tái chế,Đổi rác lấy cây,Tuyên truyền phân loại rác,Dọn vệ sinh khu vực,Workshop sống xanh"</x:formula1>
    </x:dataValidation>
    <x:dataValidation type="list" sqref="D3:D32">
      <x:formula1>"Minh,An,Trang,Huy,Linh,Phúc"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fb32ff0a634f8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3D0EFB0-765F-A32E-C069-E1B1D7B60A17}">
            <x14:dataBar gradient="1">
              <x14:cfvo type="min"/>
              <x14:cfvo type="max"/>
              <x14:fillColor rgb="16A34A"/>
            </x14:dataBar>
          </x14:cfRule>
          <xm:sqref>F3:F32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4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</x:cols>
  <x:sheetData>
    <x:row r="1" ht="16.799999237060547" hidden="0" customHeight="1">
      <x:c r="A1" s="5" t="str">
        <x:v>TỔNG QUAN CHIẾN DỊCH SỐNG XANH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Chỉ số</x:v>
      </x:c>
      <x:c r="B3" s="14" t="str">
        <x:v>Giá trị</x:v>
      </x:c>
      <x:c r="D3" s="14" t="str">
        <x:v>Khu vực</x:v>
      </x:c>
      <x:c r="E3" s="14" t="str">
        <x:v>Người tham gia</x:v>
      </x:c>
      <x:c r="F3" s="14" t="str">
        <x:v>Rác tái chế (kg)</x:v>
      </x:c>
      <x:c r="G3" s="14" t="str">
        <x:v>Chi phí</x:v>
      </x:c>
    </x:row>
    <x:row r="4">
      <x:c r="A4" s="31" t="str">
        <x:v>Tổng lượt tham gia</x:v>
      </x:c>
      <x:c r="B4" s="36" t="n">
        <x:f>SUM(Du_lieu_chien_dich!E3:E32)</x:f>
        <x:v>1586</x:v>
      </x:c>
      <x:c r="D4" s="20" t="str">
        <x:v>Khoa CNTT</x:v>
      </x:c>
      <x:c r="E4" s="20" t="n">
        <x:f>SUMIF(Du_lieu_chien_dich!$B$3:$B$32,D4,Du_lieu_chien_dich!$E$3:$E$32)</x:f>
        <x:v>254</x:v>
      </x:c>
      <x:c r="F4" s="26" t="n">
        <x:f>SUMIF(Du_lieu_chien_dich!$B$3:$B$32,D4,Du_lieu_chien_dich!$F$3:$F$32)</x:f>
        <x:v>70.2</x:v>
      </x:c>
      <x:c r="G4" s="24" t="n">
        <x:f>SUMIF(Du_lieu_chien_dich!$B$3:$B$32,D4,Du_lieu_chien_dich!$G$3:$G$32)</x:f>
        <x:v>5100000</x:v>
      </x:c>
    </x:row>
    <x:row r="5">
      <x:c r="A5" s="31" t="str">
        <x:v>Tổng rác tái chế (kg)</x:v>
      </x:c>
      <x:c r="B5" s="40" t="n">
        <x:f>SUM(Du_lieu_chien_dich!F3:F32)</x:f>
        <x:v>418.30000000000007</x:v>
      </x:c>
      <x:c r="D5" s="20" t="str">
        <x:v>Thư viện</x:v>
      </x:c>
      <x:c r="E5" s="20" t="n">
        <x:f>SUMIF(Du_lieu_chien_dich!$B$3:$B$32,D5,Du_lieu_chien_dich!$E$3:$E$32)</x:f>
        <x:v>259</x:v>
      </x:c>
      <x:c r="F5" s="26" t="n">
        <x:f>SUMIF(Du_lieu_chien_dich!$B$3:$B$32,D5,Du_lieu_chien_dich!$F$3:$F$32)</x:f>
        <x:v>54.099999999999994</x:v>
      </x:c>
      <x:c r="G5" s="24" t="n">
        <x:f>SUMIF(Du_lieu_chien_dich!$B$3:$B$32,D5,Du_lieu_chien_dich!$G$3:$G$32)</x:f>
        <x:v>3100000</x:v>
      </x:c>
    </x:row>
    <x:row r="6">
      <x:c r="A6" s="31" t="str">
        <x:v>Tổng chi phí</x:v>
      </x:c>
      <x:c r="B6" s="42" t="n">
        <x:f>SUM(Du_lieu_chien_dich!G3:G32)</x:f>
        <x:v>20000000</x:v>
      </x:c>
      <x:c r="D6" s="20" t="str">
        <x:v>Ký túc xá</x:v>
      </x:c>
      <x:c r="E6" s="20" t="n">
        <x:f>SUMIF(Du_lieu_chien_dich!$B$3:$B$32,D6,Du_lieu_chien_dich!$E$3:$E$32)</x:f>
        <x:v>178</x:v>
      </x:c>
      <x:c r="F6" s="26" t="n">
        <x:f>SUMIF(Du_lieu_chien_dich!$B$3:$B$32,D6,Du_lieu_chien_dich!$F$3:$F$32)</x:f>
        <x:v>41.2</x:v>
      </x:c>
      <x:c r="G6" s="24" t="n">
        <x:f>SUMIF(Du_lieu_chien_dich!$B$3:$B$32,D6,Du_lieu_chien_dich!$G$3:$G$32)</x:f>
        <x:v>2550000</x:v>
      </x:c>
    </x:row>
    <x:row r="7">
      <x:c r="A7" s="31" t="str">
        <x:v>Điểm hài lòng TB</x:v>
      </x:c>
      <x:c r="B7" s="40" t="n">
        <x:f>AVERAGE(Du_lieu_chien_dich!H3:H32)</x:f>
        <x:v>4.126666666666666</x:v>
      </x:c>
      <x:c r="D7" s="20" t="str">
        <x:v>Căn tin</x:v>
      </x:c>
      <x:c r="E7" s="20" t="n">
        <x:f>SUMIF(Du_lieu_chien_dich!$B$3:$B$32,D7,Du_lieu_chien_dich!$E$3:$E$32)</x:f>
        <x:v>487</x:v>
      </x:c>
      <x:c r="F7" s="26" t="n">
        <x:f>SUMIF(Du_lieu_chien_dich!$B$3:$B$32,D7,Du_lieu_chien_dich!$F$3:$F$32)</x:f>
        <x:v>129.6</x:v>
      </x:c>
      <x:c r="G7" s="24" t="n">
        <x:f>SUMIF(Du_lieu_chien_dich!$B$3:$B$32,D7,Du_lieu_chien_dich!$G$3:$G$32)</x:f>
        <x:v>4550000</x:v>
      </x:c>
    </x:row>
    <x:row r="8">
      <x:c r="A8" s="31" t="str">
        <x:v>Chi phí/người TB</x:v>
      </x:c>
      <x:c r="B8" s="42" t="n">
        <x:f>B6/B4</x:f>
        <x:v>12610.340479192939</x:v>
      </x:c>
      <x:c r="D8" s="20" t="str">
        <x:v>Sân trường</x:v>
      </x:c>
      <x:c r="E8" s="20" t="n">
        <x:f>SUMIF(Du_lieu_chien_dich!$B$3:$B$32,D8,Du_lieu_chien_dich!$E$3:$E$32)</x:f>
        <x:v>104</x:v>
      </x:c>
      <x:c r="F8" s="26" t="n">
        <x:f>SUMIF(Du_lieu_chien_dich!$B$3:$B$32,D8,Du_lieu_chien_dich!$F$3:$F$32)</x:f>
        <x:v>32.3</x:v>
      </x:c>
      <x:c r="G8" s="24" t="n">
        <x:f>SUMIF(Du_lieu_chien_dich!$B$3:$B$32,D8,Du_lieu_chien_dich!$G$3:$G$32)</x:f>
        <x:v>1600000</x:v>
      </x:c>
    </x:row>
    <x:row r="9">
      <x:c r="D9" s="20" t="str">
        <x:v>Phòng học A</x:v>
      </x:c>
      <x:c r="E9" s="20" t="n">
        <x:f>SUMIF(Du_lieu_chien_dich!$B$3:$B$32,D9,Du_lieu_chien_dich!$E$3:$E$32)</x:f>
        <x:v>304</x:v>
      </x:c>
      <x:c r="F9" s="26" t="n">
        <x:f>SUMIF(Du_lieu_chien_dich!$B$3:$B$32,D9,Du_lieu_chien_dich!$F$3:$F$32)</x:f>
        <x:v>90.9</x:v>
      </x:c>
      <x:c r="G9" s="24" t="n">
        <x:f>SUMIF(Du_lieu_chien_dich!$B$3:$B$32,D9,Du_lieu_chien_dich!$G$3:$G$32)</x:f>
        <x:v>3100000</x:v>
      </x:c>
    </x:row>
    <x:row r="11">
      <x:c r="A11" s="14" t="str">
        <x:v>Hoạt động</x:v>
      </x:c>
      <x:c r="B11" s="14" t="str">
        <x:v>Số buổi</x:v>
      </x:c>
      <x:c r="C11" s="14" t="str">
        <x:v>Hài lòng TB</x:v>
      </x:c>
    </x:row>
    <x:row r="12">
      <x:c r="A12" t="str">
        <x:v>Thu gom rác tái chế</x:v>
      </x:c>
      <x:c r="B12" t="n">
        <x:f>COUNTIF(Du_lieu_chien_dich!$C$3:$C$32,A12)</x:f>
        <x:v>8</x:v>
      </x:c>
      <x:c r="C12" s="44" t="n">
        <x:f>SUMIF(Du_lieu_chien_dich!$C$3:$C$32,A12,Du_lieu_chien_dich!$H$3:$H$32)/B12</x:f>
        <x:v>4.075</x:v>
      </x:c>
    </x:row>
    <x:row r="13">
      <x:c r="A13" t="str">
        <x:v>Đổi rác lấy cây</x:v>
      </x:c>
      <x:c r="B13" t="n">
        <x:f>COUNTIF(Du_lieu_chien_dich!$C$3:$C$32,A13)</x:f>
        <x:v>4</x:v>
      </x:c>
      <x:c r="C13" s="44" t="n">
        <x:f>SUMIF(Du_lieu_chien_dich!$C$3:$C$32,A13,Du_lieu_chien_dich!$H$3:$H$32)/B13</x:f>
        <x:v>4.5</x:v>
      </x:c>
    </x:row>
    <x:row r="14">
      <x:c r="A14" t="str">
        <x:v>Tuyên truyền phân loại rác</x:v>
      </x:c>
      <x:c r="B14" t="n">
        <x:f>COUNTIF(Du_lieu_chien_dich!$C$3:$C$32,A14)</x:f>
        <x:v>4</x:v>
      </x:c>
      <x:c r="C14" s="44" t="n">
        <x:f>SUMIF(Du_lieu_chien_dich!$C$3:$C$32,A14,Du_lieu_chien_dich!$H$3:$H$32)/B14</x:f>
        <x:v>4.175</x:v>
      </x:c>
    </x:row>
    <x:row r="15">
      <x:c r="A15" t="str">
        <x:v>Dọn vệ sinh khu vực</x:v>
      </x:c>
      <x:c r="B15" t="n">
        <x:f>COUNTIF(Du_lieu_chien_dich!$C$3:$C$32,A15)</x:f>
        <x:v>7</x:v>
      </x:c>
      <x:c r="C15" s="44" t="n">
        <x:f>SUMIF(Du_lieu_chien_dich!$C$3:$C$32,A15,Du_lieu_chien_dich!$H$3:$H$32)/B15</x:f>
        <x:v>3.942857142857143</x:v>
      </x:c>
    </x:row>
    <x:row r="16">
      <x:c r="A16" t="str">
        <x:v>Workshop sống xanh</x:v>
      </x:c>
      <x:c r="B16" t="n">
        <x:f>COUNTIF(Du_lieu_chien_dich!$C$3:$C$32,A16)</x:f>
        <x:v>7</x:v>
      </x:c>
      <x:c r="C16" s="44" t="n">
        <x:f>SUMIF(Du_lieu_chien_dich!$C$3:$C$32,A16,Du_lieu_chien_dich!$H$3:$H$32)/B16</x:f>
        <x:v>4.128571428571429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c033bc50a6945f5"/>
  <x:tableParts count="2">
    <x:tablePart xmlns:r="http://schemas.openxmlformats.org/officeDocument/2006/relationships" r:id="R07cdf1413aac4904"/>
    <x:tablePart xmlns:r="http://schemas.openxmlformats.org/officeDocument/2006/relationships" r:id="R28fe5ef20a124838"/>
  </x:tableParts>
</x:worksheet>
</file>